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Setup" sheetId="2" state="visible" r:id="rId2"/>
    <sheet name="Trip Log" sheetId="3" state="visible" r:id="rId3"/>
    <sheet name="Monthly Summary" sheetId="4" state="visible" r:id="rId4"/>
    <sheet name="Year-End Summary" sheetId="5" state="visible" r:id="rId5"/>
    <sheet name="IRS Reference" sheetId="6" state="visible" r:id="rId6"/>
  </sheets>
  <definedNames>
    <definedName name="TaxYear">Setup!$C$6</definedName>
    <definedName name="MileRate">Setup!$C$7</definedName>
    <definedName name="VehicleList">Setup!$B$12:$B$14</definedName>
    <definedName name="PlatformList">Setup!$B$19:$B$30</definedName>
  </definedNames>
  <calcPr calcId="124519" fullCalcOnLoad="1"/>
</workbook>
</file>

<file path=xl/styles.xml><?xml version="1.0" encoding="utf-8"?>
<styleSheet xmlns="http://schemas.openxmlformats.org/spreadsheetml/2006/main">
  <numFmts count="5">
    <numFmt numFmtId="164" formatCode="&quot;$&quot;#,##0.000"/>
    <numFmt numFmtId="165" formatCode="yyyy-mm-dd"/>
    <numFmt numFmtId="166" formatCode="#,##0.0"/>
    <numFmt numFmtId="167" formatCode="&quot;$&quot;#,##0.00"/>
    <numFmt numFmtId="168" formatCode="0.0%"/>
  </numFmts>
  <fonts count="17">
    <font>
      <name val="Calibri"/>
      <family val="2"/>
      <color theme="1"/>
      <sz val="11"/>
      <scheme val="minor"/>
    </font>
    <font>
      <name val="Calibri"/>
      <b val="1"/>
      <color rgb="FF1C2B4A"/>
      <sz val="26"/>
    </font>
    <font>
      <name val="Calibri"/>
      <i val="1"/>
      <color rgb="FFC9973A"/>
      <sz val="11"/>
    </font>
    <font>
      <name val="Calibri"/>
      <b val="1"/>
      <color rgb="FF1C2B4A"/>
      <sz val="15"/>
    </font>
    <font>
      <name val="Calibri"/>
      <color rgb="FF333333"/>
      <sz val="11"/>
    </font>
    <font>
      <name val="Calibri"/>
      <b val="1"/>
      <color rgb="FFC9973A"/>
      <sz val="22"/>
    </font>
    <font>
      <name val="Calibri"/>
      <b val="1"/>
      <color rgb="FF1C2B4A"/>
      <sz val="12"/>
    </font>
    <font>
      <name val="Calibri"/>
      <b val="1"/>
      <color rgb="FF276944"/>
      <sz val="12"/>
    </font>
    <font>
      <name val="Calibri"/>
      <color rgb="FF6B7A96"/>
      <sz val="10"/>
    </font>
    <font>
      <name val="Calibri"/>
      <i val="1"/>
      <color rgb="FF6B7A96"/>
      <sz val="9"/>
    </font>
    <font>
      <name val="Calibri"/>
      <b val="1"/>
      <color rgb="FF1C2B4A"/>
      <sz val="22"/>
    </font>
    <font>
      <name val="Calibri"/>
      <b val="1"/>
      <color rgb="FFFFFFFF"/>
      <sz val="11"/>
    </font>
    <font>
      <name val="Calibri"/>
      <b val="1"/>
      <color rgb="FF1C2B4A"/>
      <sz val="11"/>
    </font>
    <font>
      <name val="Calibri"/>
      <i val="1"/>
      <color rgb="FF6B7A96"/>
      <sz val="11"/>
    </font>
    <font>
      <name val="Calibri"/>
      <i val="1"/>
      <color rgb="FF1C2B4A"/>
      <sz val="10"/>
    </font>
    <font>
      <name val="Calibri"/>
      <b val="1"/>
      <color rgb="FF6B7A96"/>
      <sz val="10"/>
    </font>
    <font>
      <name val="Calibri"/>
      <b val="1"/>
      <color rgb="FFC9973A"/>
      <sz val="12"/>
    </font>
  </fonts>
  <fills count="6">
    <fill>
      <patternFill/>
    </fill>
    <fill>
      <patternFill patternType="gray125"/>
    </fill>
    <fill>
      <patternFill patternType="solid">
        <fgColor rgb="FFFDF5E8"/>
        <bgColor rgb="FFFDF5E8"/>
      </patternFill>
    </fill>
    <fill>
      <patternFill patternType="solid">
        <fgColor rgb="FF1C2B4A"/>
        <bgColor rgb="FF1C2B4A"/>
      </patternFill>
    </fill>
    <fill>
      <patternFill patternType="solid">
        <fgColor rgb="FFF0ECE3"/>
        <bgColor rgb="FFF0ECE3"/>
      </patternFill>
    </fill>
    <fill>
      <patternFill patternType="solid">
        <fgColor rgb="FFFAF8F4"/>
        <bgColor rgb="FFFAF8F4"/>
      </patternFill>
    </fill>
  </fills>
  <borders count="6">
    <border>
      <left/>
      <right/>
      <top/>
      <bottom/>
      <diagonal/>
    </border>
    <border>
      <left style="thin">
        <color rgb="FFC9973A"/>
      </left>
      <right style="thin">
        <color rgb="FFC9973A"/>
      </right>
      <top style="thin">
        <color rgb="FFC9973A"/>
      </top>
      <bottom style="thin">
        <color rgb="FFC9973A"/>
      </bottom>
    </border>
    <border>
      <left style="thin">
        <color rgb="FFE5E7ED"/>
      </left>
      <right style="thin">
        <color rgb="FFE5E7ED"/>
      </right>
      <top style="thin">
        <color rgb="FFE5E7ED"/>
      </top>
      <bottom style="thin">
        <color rgb="FFE5E7ED"/>
      </bottom>
    </border>
    <border>
      <left style="thin">
        <color rgb="FF1C2B4A"/>
      </left>
      <right style="thin">
        <color rgb="FF1C2B4A"/>
      </right>
      <top style="thin">
        <color rgb="FF1C2B4A"/>
      </top>
      <bottom style="thin">
        <color rgb="FF1C2B4A"/>
      </bottom>
    </border>
    <border>
      <left style="thin">
        <color rgb="FFE5E7ED"/>
      </left>
      <right style="thin">
        <color rgb="FFE5E7ED"/>
      </right>
      <top style="thin">
        <color rgb="FFE5E7ED"/>
      </top>
      <bottom/>
    </border>
    <border>
      <left style="thin">
        <color rgb="FFE5E7ED"/>
      </left>
      <right style="thin">
        <color rgb="FFE5E7ED"/>
      </right>
      <top/>
      <bottom style="thin">
        <color rgb="FFE5E7ED"/>
      </bottom>
    </border>
  </borders>
  <cellStyleXfs count="1">
    <xf numFmtId="0" fontId="0" fillId="0" borderId="0"/>
  </cellStyleXfs>
  <cellXfs count="50">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4" fillId="0" borderId="0" applyAlignment="1" pivotButton="0" quotePrefix="0" xfId="0">
      <alignment horizontal="left" vertical="top" wrapText="1"/>
    </xf>
    <xf numFmtId="0" fontId="5" fillId="0" borderId="0" applyAlignment="1" pivotButton="0" quotePrefix="0" xfId="0">
      <alignment horizontal="center" vertical="top"/>
    </xf>
    <xf numFmtId="0" fontId="6" fillId="0" borderId="0" applyAlignment="1" pivotButton="0" quotePrefix="0" xfId="0">
      <alignment horizontal="left" vertical="top" wrapText="1"/>
    </xf>
    <xf numFmtId="0" fontId="7" fillId="0" borderId="0" applyAlignment="1" pivotButton="0" quotePrefix="0" xfId="0">
      <alignment horizontal="center"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top" wrapText="1"/>
    </xf>
    <xf numFmtId="0" fontId="9" fillId="0" borderId="0" applyAlignment="1" pivotButton="0" quotePrefix="0" xfId="0">
      <alignment horizontal="left" vertical="top" wrapText="1"/>
    </xf>
    <xf numFmtId="0" fontId="10" fillId="0" borderId="0" applyAlignment="1" pivotButton="0" quotePrefix="0" xfId="0">
      <alignment horizontal="left" vertical="center" wrapText="1"/>
    </xf>
    <xf numFmtId="0" fontId="8" fillId="0" borderId="0" applyAlignment="1" pivotButton="0" quotePrefix="0" xfId="0">
      <alignment horizontal="left" vertical="center" wrapText="1"/>
    </xf>
    <xf numFmtId="0" fontId="6" fillId="2" borderId="1" applyAlignment="1" pivotButton="0" quotePrefix="0" xfId="0">
      <alignment horizontal="left" vertical="center" wrapText="1"/>
    </xf>
    <xf numFmtId="164" fontId="6" fillId="2" borderId="1" applyAlignment="1" pivotButton="0" quotePrefix="0" xfId="0">
      <alignment horizontal="left" vertical="center" wrapText="1"/>
    </xf>
    <xf numFmtId="0" fontId="11" fillId="3" borderId="0" applyAlignment="1" pivotButton="0" quotePrefix="0" xfId="0">
      <alignment horizontal="left" vertical="center" wrapText="1"/>
    </xf>
    <xf numFmtId="0" fontId="4" fillId="2" borderId="1" applyAlignment="1" pivotButton="0" quotePrefix="0" xfId="0">
      <alignment horizontal="left" vertical="center" wrapText="1"/>
    </xf>
    <xf numFmtId="3" fontId="4" fillId="2" borderId="1" applyAlignment="1" pivotButton="0" quotePrefix="0" xfId="0">
      <alignment horizontal="right" vertical="center"/>
    </xf>
    <xf numFmtId="3" fontId="12" fillId="4" borderId="2" applyAlignment="1" pivotButton="0" quotePrefix="0" xfId="0">
      <alignment horizontal="right" vertical="center"/>
    </xf>
    <xf numFmtId="0" fontId="13" fillId="0" borderId="0" applyAlignment="1" pivotButton="0" quotePrefix="0" xfId="0">
      <alignment horizontal="left" vertical="center" wrapText="1"/>
    </xf>
    <xf numFmtId="0" fontId="11" fillId="3" borderId="3" applyAlignment="1" pivotButton="0" quotePrefix="0" xfId="0">
      <alignment horizontal="center" vertical="center" wrapText="1"/>
    </xf>
    <xf numFmtId="165" fontId="14" fillId="2" borderId="2" applyAlignment="1" pivotButton="0" quotePrefix="0" xfId="0">
      <alignment horizontal="left" vertical="center" wrapText="1"/>
    </xf>
    <xf numFmtId="0" fontId="14" fillId="2" borderId="2" applyAlignment="1" pivotButton="0" quotePrefix="0" xfId="0">
      <alignment horizontal="left" vertical="center" wrapText="1"/>
    </xf>
    <xf numFmtId="3" fontId="14" fillId="2" borderId="2" applyAlignment="1" pivotButton="0" quotePrefix="0" xfId="0">
      <alignment horizontal="left" vertical="center" wrapText="1"/>
    </xf>
    <xf numFmtId="9" fontId="14" fillId="2" borderId="2" applyAlignment="1" pivotButton="0" quotePrefix="0" xfId="0">
      <alignment horizontal="center" vertical="center" wrapText="1"/>
    </xf>
    <xf numFmtId="166" fontId="14" fillId="2" borderId="2" applyAlignment="1" pivotButton="0" quotePrefix="0" xfId="0">
      <alignment horizontal="left" vertical="center" wrapText="1"/>
    </xf>
    <xf numFmtId="167" fontId="14" fillId="2" borderId="2" applyAlignment="1" pivotButton="0" quotePrefix="0" xfId="0">
      <alignment horizontal="left" vertical="center" wrapText="1"/>
    </xf>
    <xf numFmtId="165" fontId="4" fillId="0" borderId="2" pivotButton="0" quotePrefix="0" xfId="0"/>
    <xf numFmtId="0" fontId="4" fillId="0" borderId="2" pivotButton="0" quotePrefix="0" xfId="0"/>
    <xf numFmtId="3" fontId="4" fillId="0" borderId="2" pivotButton="0" quotePrefix="0" xfId="0"/>
    <xf numFmtId="9" fontId="4" fillId="0" borderId="2" applyAlignment="1" pivotButton="0" quotePrefix="0" xfId="0">
      <alignment horizontal="center" vertical="center" wrapText="1"/>
    </xf>
    <xf numFmtId="166" fontId="4" fillId="0" borderId="2" pivotButton="0" quotePrefix="0" xfId="0"/>
    <xf numFmtId="167" fontId="4" fillId="0" borderId="2" pivotButton="0" quotePrefix="0" xfId="0"/>
    <xf numFmtId="0" fontId="4" fillId="0" borderId="2" applyAlignment="1" pivotButton="0" quotePrefix="0" xfId="0">
      <alignment horizontal="left" vertical="center" wrapText="1"/>
    </xf>
    <xf numFmtId="3" fontId="0" fillId="0" borderId="2" applyAlignment="1" pivotButton="0" quotePrefix="0" xfId="0">
      <alignment horizontal="right" vertical="center"/>
    </xf>
    <xf numFmtId="166" fontId="0" fillId="0" borderId="2" applyAlignment="1" pivotButton="0" quotePrefix="0" xfId="0">
      <alignment horizontal="right" vertical="center"/>
    </xf>
    <xf numFmtId="167" fontId="0" fillId="0" borderId="2" applyAlignment="1" pivotButton="0" quotePrefix="0" xfId="0">
      <alignment horizontal="right" vertical="center"/>
    </xf>
    <xf numFmtId="3" fontId="6" fillId="2" borderId="1" applyAlignment="1" pivotButton="0" quotePrefix="0" xfId="0">
      <alignment horizontal="right" vertical="center"/>
    </xf>
    <xf numFmtId="166" fontId="6" fillId="2" borderId="1" applyAlignment="1" pivotButton="0" quotePrefix="0" xfId="0">
      <alignment horizontal="right" vertical="center"/>
    </xf>
    <xf numFmtId="167" fontId="6" fillId="2" borderId="1" applyAlignment="1" pivotButton="0" quotePrefix="0" xfId="0">
      <alignment horizontal="right" vertical="center"/>
    </xf>
    <xf numFmtId="0" fontId="15" fillId="5" borderId="4" applyAlignment="1" pivotButton="0" quotePrefix="0" xfId="0">
      <alignment horizontal="left" vertical="center" indent="1"/>
    </xf>
    <xf numFmtId="1" fontId="10" fillId="5" borderId="5" applyAlignment="1" pivotButton="0" quotePrefix="0" xfId="0">
      <alignment horizontal="left" vertical="center" indent="1"/>
    </xf>
    <xf numFmtId="166" fontId="10" fillId="5" borderId="5" applyAlignment="1" pivotButton="0" quotePrefix="0" xfId="0">
      <alignment horizontal="left" vertical="center" indent="1"/>
    </xf>
    <xf numFmtId="164" fontId="10" fillId="5" borderId="5" applyAlignment="1" pivotButton="0" quotePrefix="0" xfId="0">
      <alignment horizontal="left" vertical="center" indent="1"/>
    </xf>
    <xf numFmtId="167" fontId="5" fillId="5" borderId="5" applyAlignment="1" pivotButton="0" quotePrefix="0" xfId="0">
      <alignment horizontal="left" vertical="center" indent="1"/>
    </xf>
    <xf numFmtId="0" fontId="6" fillId="0" borderId="0" applyAlignment="1" pivotButton="0" quotePrefix="0" xfId="0">
      <alignment horizontal="left" vertical="center" wrapText="1"/>
    </xf>
    <xf numFmtId="3" fontId="6" fillId="0" borderId="0" applyAlignment="1" pivotButton="0" quotePrefix="0" xfId="0">
      <alignment horizontal="right" vertical="center"/>
    </xf>
    <xf numFmtId="166" fontId="6" fillId="0" borderId="0" applyAlignment="1" pivotButton="0" quotePrefix="0" xfId="0">
      <alignment horizontal="right" vertical="center"/>
    </xf>
    <xf numFmtId="168" fontId="6" fillId="0" borderId="0" applyAlignment="1" pivotButton="0" quotePrefix="0" xfId="0">
      <alignment horizontal="right" vertical="center"/>
    </xf>
    <xf numFmtId="0" fontId="16" fillId="0" borderId="0" applyAlignment="1" pivotButton="0" quotePrefix="0" xfId="0">
      <alignment horizontal="center" vertical="center" wrapText="1"/>
    </xf>
  </cellXfs>
  <cellStyles count="1">
    <cellStyle name="Normal" xfId="0" builtinId="0" hidden="0"/>
  </cellStyles>
  <dxfs count="3">
    <dxf>
      <font>
        <b val="1"/>
        <color rgb="FF276944"/>
      </font>
      <fill>
        <patternFill patternType="solid">
          <fgColor rgb="FFEAF5EF"/>
          <bgColor rgb="FFEAF5EF"/>
        </patternFill>
      </fill>
    </dxf>
    <dxf>
      <font>
        <b val="1"/>
        <color rgb="FFA86C0A"/>
      </font>
      <fill>
        <patternFill patternType="solid">
          <fgColor rgb="FFFEF6E8"/>
          <bgColor rgb="FFFEF6E8"/>
        </patternFill>
      </fill>
    </dxf>
    <dxf>
      <font>
        <b val="1"/>
        <color rgb="FFB83232"/>
      </font>
      <fill>
        <patternFill patternType="solid">
          <fgColor rgb="FFFBE9E9"/>
          <bgColor rgb="FFFBE9E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H23"/>
  <sheetViews>
    <sheetView showGridLines="0" zoomScale="110" workbookViewId="0">
      <selection activeCell="A1" sqref="A1"/>
    </sheetView>
  </sheetViews>
  <sheetFormatPr baseColWidth="8" defaultRowHeight="15"/>
  <cols>
    <col width="2" customWidth="1" min="1" max="1"/>
    <col width="22" customWidth="1" min="2" max="2"/>
    <col width="18" customWidth="1" min="3" max="3"/>
    <col width="18" customWidth="1" min="4" max="4"/>
    <col width="18" customWidth="1" min="5" max="5"/>
    <col width="18" customWidth="1" min="6" max="6"/>
    <col width="18" customWidth="1" min="7" max="7"/>
    <col width="18" customWidth="1" min="8" max="8"/>
  </cols>
  <sheetData>
    <row r="2" ht="38" customHeight="1">
      <c r="B2" s="1" t="inlineStr">
        <is>
          <t>Gig Driver Mileage Tracker 2026</t>
        </is>
      </c>
    </row>
    <row r="3">
      <c r="B3" s="2" t="inlineStr">
        <is>
          <t>SideHustleGuard · sidehustleguard.com</t>
        </is>
      </c>
    </row>
    <row r="5" ht="6" customHeight="1"/>
    <row r="6" ht="22" customHeight="1">
      <c r="B6" s="3" t="inlineStr">
        <is>
          <t>What this tracker does</t>
        </is>
      </c>
    </row>
    <row r="7" ht="70" customHeight="1">
      <c r="B7" s="4" t="inlineStr">
        <is>
          <t>Logs every business trip you take for DoorDash, Uber, Lyft, Grubhub, Instacart, Amazon Flex, TaskRabbit, Rover, or any other gig platform. Auto-calculates your IRS standard mileage deduction — the single biggest tax break gig workers get, typically worth $5,000–$15,000+ off your taxable income each year.</t>
        </is>
      </c>
    </row>
    <row r="9" ht="22" customHeight="1">
      <c r="B9" s="3" t="inlineStr">
        <is>
          <t>How to use it (3 steps)</t>
        </is>
      </c>
    </row>
    <row r="10" ht="56" customHeight="1">
      <c r="B10" s="5" t="inlineStr">
        <is>
          <t>1.</t>
        </is>
      </c>
      <c r="C10" s="6" t="inlineStr">
        <is>
          <t>Open the Setup tab.</t>
        </is>
      </c>
      <c r="D10" s="4" t="inlineStr">
        <is>
          <t>Set the tax year, confirm the IRS mileage rate (we pre-fill it; verify at IRS.gov each January), and list your vehicles + the platforms you drive for.</t>
        </is>
      </c>
    </row>
    <row r="11" ht="56" customHeight="1">
      <c r="B11" s="5" t="inlineStr">
        <is>
          <t>2.</t>
        </is>
      </c>
      <c r="C11" s="6" t="inlineStr">
        <is>
          <t>Log trips on the Trip Log tab.</t>
        </is>
      </c>
      <c r="D11" s="4" t="inlineStr">
        <is>
          <t>One row per trip. Pick the date, vehicle, and platform from dropdowns. Enter miles directly OR enter your start and end odometer — whichever is faster. Default business % is 100 because most gig trips are 100% business.</t>
        </is>
      </c>
    </row>
    <row r="12" ht="56" customHeight="1">
      <c r="B12" s="5" t="inlineStr">
        <is>
          <t>3.</t>
        </is>
      </c>
      <c r="C12" s="6" t="inlineStr">
        <is>
          <t>Check the Monthly &amp; Year-End Summary tabs.</t>
        </is>
      </c>
      <c r="D12" s="4" t="inlineStr">
        <is>
          <t>Everything totals automatically. The Year-End Summary tells you exactly what to write on Schedule C line 9 (Car &amp; Truck Expenses).</t>
        </is>
      </c>
    </row>
    <row r="14" ht="22" customHeight="1">
      <c r="B14" s="3" t="inlineStr">
        <is>
          <t>What the IRS actually requires</t>
        </is>
      </c>
    </row>
    <row r="15" ht="22" customHeight="1">
      <c r="B15" s="7" t="inlineStr">
        <is>
          <t>✓</t>
        </is>
      </c>
      <c r="C15" s="8" t="inlineStr">
        <is>
          <t>A contemporaneous log — entries made at or near the time of the trip, not reconstructed at year-end</t>
        </is>
      </c>
    </row>
    <row r="16" ht="22" customHeight="1">
      <c r="B16" s="7" t="inlineStr">
        <is>
          <t>✓</t>
        </is>
      </c>
      <c r="C16" s="8" t="inlineStr">
        <is>
          <t>Date of each business trip</t>
        </is>
      </c>
    </row>
    <row r="17" ht="22" customHeight="1">
      <c r="B17" s="7" t="inlineStr">
        <is>
          <t>✓</t>
        </is>
      </c>
      <c r="C17" s="8" t="inlineStr">
        <is>
          <t>Business purpose (e.g., "DoorDash delivery," "Uber pickup → drop-off")</t>
        </is>
      </c>
    </row>
    <row r="18" ht="22" customHeight="1">
      <c r="B18" s="7" t="inlineStr">
        <is>
          <t>✓</t>
        </is>
      </c>
      <c r="C18" s="8" t="inlineStr">
        <is>
          <t>Total miles driven for that trip (or start + end odometer)</t>
        </is>
      </c>
    </row>
    <row r="19" ht="22" customHeight="1">
      <c r="B19" s="7" t="inlineStr">
        <is>
          <t>✓</t>
        </is>
      </c>
      <c r="C19" s="8" t="inlineStr">
        <is>
          <t>Total miles driven for the year, including personal — this is the denominator that proves your business %</t>
        </is>
      </c>
    </row>
    <row r="21" ht="50" customHeight="1">
      <c r="B21" s="9" t="inlineStr">
        <is>
          <t>This tracker captures all of the above. Save the file (or a print/PDF export) with your tax records for at least 3 years after filing — that's the standard IRS audit lookback window.</t>
        </is>
      </c>
    </row>
    <row r="23" ht="50" customHeight="1">
      <c r="B23" s="10" t="inlineStr">
        <is>
          <t>Educational tool only — not tax or legal advice. The IRS standard mileage rate is set annually; verify the current year's rate at irs.gov/standardmileagerates before filing. For complex situations (employer reimbursements, multiple businesses, leased vehicles), consult a CPA.</t>
        </is>
      </c>
    </row>
  </sheetData>
  <mergeCells count="16">
    <mergeCell ref="D12:H12"/>
    <mergeCell ref="B14:H14"/>
    <mergeCell ref="C16:H16"/>
    <mergeCell ref="C19:H19"/>
    <mergeCell ref="B23:H23"/>
    <mergeCell ref="B9:H9"/>
    <mergeCell ref="D10:H10"/>
    <mergeCell ref="B21:H21"/>
    <mergeCell ref="D11:H11"/>
    <mergeCell ref="B6:H6"/>
    <mergeCell ref="B2:H2"/>
    <mergeCell ref="C18:H18"/>
    <mergeCell ref="B7:H7"/>
    <mergeCell ref="C17:H17"/>
    <mergeCell ref="B3:H3"/>
    <mergeCell ref="C15:H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F30"/>
  <sheetViews>
    <sheetView showGridLines="0" zoomScale="110" workbookViewId="0">
      <selection activeCell="A1" sqref="A1"/>
    </sheetView>
  </sheetViews>
  <sheetFormatPr baseColWidth="8" defaultRowHeight="15"/>
  <cols>
    <col width="2" customWidth="1" min="1" max="1"/>
    <col width="28" customWidth="1" min="2" max="2"/>
    <col width="22" customWidth="1" min="3" max="3"/>
    <col width="22" customWidth="1" min="4" max="4"/>
    <col width="22" customWidth="1" min="5" max="5"/>
    <col width="22" customWidth="1" min="6" max="6"/>
  </cols>
  <sheetData>
    <row r="2" ht="32" customHeight="1">
      <c r="B2" s="11" t="inlineStr">
        <is>
          <t>Setup</t>
        </is>
      </c>
    </row>
    <row r="3">
      <c r="B3" s="12" t="inlineStr">
        <is>
          <t>Edit the gold cells below. The rest of the tracker reads from here.</t>
        </is>
      </c>
    </row>
    <row r="5" ht="24" customHeight="1">
      <c r="B5" s="3" t="inlineStr">
        <is>
          <t>Tax year &amp; rate</t>
        </is>
      </c>
    </row>
    <row r="6" ht="24" customHeight="1">
      <c r="B6" s="8" t="inlineStr">
        <is>
          <t>Tax year</t>
        </is>
      </c>
      <c r="C6" s="13" t="n">
        <v>2026</v>
      </c>
    </row>
    <row r="7" ht="24" customHeight="1">
      <c r="B7" s="8" t="inlineStr">
        <is>
          <t>IRS standard mileage rate ($/mile)</t>
        </is>
      </c>
      <c r="C7" s="14" t="n">
        <v>0.7</v>
      </c>
    </row>
    <row r="8">
      <c r="B8" s="12" t="inlineStr">
        <is>
          <t>← Verify at irs.gov/standardmileagerates each January. The IRS publishes the rate for the calendar year in mid-December.</t>
        </is>
      </c>
    </row>
    <row r="10" ht="24" customHeight="1">
      <c r="B10" s="3" t="inlineStr">
        <is>
          <t>Your vehicles</t>
        </is>
      </c>
    </row>
    <row r="11" ht="22" customHeight="1">
      <c r="B11" s="15" t="inlineStr">
        <is>
          <t>Vehicle name</t>
        </is>
      </c>
      <c r="C11" s="15" t="inlineStr">
        <is>
          <t>Year / Make / Model</t>
        </is>
      </c>
      <c r="D11" s="15" t="inlineStr">
        <is>
          <t>Starting odometer (Jan 1)</t>
        </is>
      </c>
      <c r="E11" s="15" t="inlineStr">
        <is>
          <t>Ending odometer (Dec 31)</t>
        </is>
      </c>
      <c r="F11" s="15" t="inlineStr">
        <is>
          <t>Total miles (year)</t>
        </is>
      </c>
    </row>
    <row r="12" ht="22" customHeight="1">
      <c r="B12" s="16" t="inlineStr">
        <is>
          <t>Main car</t>
        </is>
      </c>
      <c r="C12" s="16" t="inlineStr">
        <is>
          <t>2020 Toyota Corolla</t>
        </is>
      </c>
      <c r="D12" s="17" t="n">
        <v>38500</v>
      </c>
      <c r="E12" s="17" t="n">
        <v>78500</v>
      </c>
      <c r="F12" s="18">
        <f>IF(AND(ISNUMBER(D12),ISNUMBER(E12)),E12-D12,"")</f>
        <v/>
      </c>
    </row>
    <row r="13" ht="22" customHeight="1">
      <c r="B13" s="16" t="inlineStr">
        <is>
          <t>Second car</t>
        </is>
      </c>
      <c r="C13" s="16" t="inlineStr"/>
      <c r="D13" s="17" t="inlineStr"/>
      <c r="E13" s="17" t="inlineStr"/>
      <c r="F13" s="18">
        <f>IF(AND(ISNUMBER(D13),ISNUMBER(E13)),E13-D13,"")</f>
        <v/>
      </c>
    </row>
    <row r="14" ht="22" customHeight="1">
      <c r="B14" s="16" t="inlineStr">
        <is>
          <t>Backup / rental</t>
        </is>
      </c>
      <c r="C14" s="16" t="inlineStr"/>
      <c r="D14" s="17" t="inlineStr"/>
      <c r="E14" s="17" t="inlineStr"/>
      <c r="F14" s="18">
        <f>IF(AND(ISNUMBER(D14),ISNUMBER(E14)),E14-D14,"")</f>
        <v/>
      </c>
    </row>
    <row r="16" ht="24" customHeight="1">
      <c r="B16" s="3" t="inlineStr">
        <is>
          <t>Your gig platforms</t>
        </is>
      </c>
    </row>
    <row r="17">
      <c r="B17" s="12" t="inlineStr">
        <is>
          <t>Edit this list to match the apps you actually drive for.</t>
        </is>
      </c>
    </row>
    <row r="18" ht="22" customHeight="1">
      <c r="B18" s="15" t="inlineStr">
        <is>
          <t>Platform</t>
        </is>
      </c>
    </row>
    <row r="19" ht="20" customHeight="1">
      <c r="B19" s="16" t="inlineStr">
        <is>
          <t>DoorDash</t>
        </is>
      </c>
    </row>
    <row r="20" ht="20" customHeight="1">
      <c r="B20" s="16" t="inlineStr">
        <is>
          <t>Uber</t>
        </is>
      </c>
    </row>
    <row r="21" ht="20" customHeight="1">
      <c r="B21" s="16" t="inlineStr">
        <is>
          <t>Uber Eats</t>
        </is>
      </c>
    </row>
    <row r="22" ht="20" customHeight="1">
      <c r="B22" s="16" t="inlineStr">
        <is>
          <t>Lyft</t>
        </is>
      </c>
    </row>
    <row r="23" ht="20" customHeight="1">
      <c r="B23" s="16" t="inlineStr">
        <is>
          <t>Grubhub</t>
        </is>
      </c>
    </row>
    <row r="24" ht="20" customHeight="1">
      <c r="B24" s="16" t="inlineStr">
        <is>
          <t>Instacart</t>
        </is>
      </c>
    </row>
    <row r="25" ht="20" customHeight="1">
      <c r="B25" s="16" t="inlineStr">
        <is>
          <t>Amazon Flex</t>
        </is>
      </c>
    </row>
    <row r="26" ht="20" customHeight="1">
      <c r="B26" s="16" t="inlineStr">
        <is>
          <t>TaskRabbit</t>
        </is>
      </c>
    </row>
    <row r="27" ht="20" customHeight="1">
      <c r="B27" s="16" t="inlineStr">
        <is>
          <t>Rover</t>
        </is>
      </c>
    </row>
    <row r="28" ht="20" customHeight="1">
      <c r="B28" s="16" t="inlineStr">
        <is>
          <t>Shipt</t>
        </is>
      </c>
    </row>
    <row r="29" ht="20" customHeight="1">
      <c r="B29" s="16" t="inlineStr">
        <is>
          <t>Roadie</t>
        </is>
      </c>
    </row>
    <row r="30" ht="20" customHeight="1">
      <c r="B30" s="16" t="inlineStr">
        <is>
          <t>Other</t>
        </is>
      </c>
    </row>
  </sheetData>
  <mergeCells count="7">
    <mergeCell ref="B2:F2"/>
    <mergeCell ref="B16:F16"/>
    <mergeCell ref="B10:F10"/>
    <mergeCell ref="B3:F3"/>
    <mergeCell ref="B5:F5"/>
    <mergeCell ref="B8:F8"/>
    <mergeCell ref="B17:F1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69"/>
  <sheetViews>
    <sheetView showGridLines="0" zoomScale="110" workbookViewId="0">
      <pane ySplit="2" topLeftCell="A3" activePane="bottomLeft" state="frozen"/>
      <selection pane="bottomLeft" activeCell="A1" sqref="A1"/>
    </sheetView>
  </sheetViews>
  <sheetFormatPr baseColWidth="8" defaultRowHeight="15"/>
  <cols>
    <col width="12" customWidth="1" min="1" max="1"/>
    <col width="18" customWidth="1" min="2" max="2"/>
    <col width="16" customWidth="1" min="3" max="3"/>
    <col width="28" customWidth="1" min="4" max="4"/>
    <col width="12" customWidth="1" min="5" max="5"/>
    <col width="12" customWidth="1" min="6" max="6"/>
    <col width="11" customWidth="1" min="7" max="7"/>
    <col width="11" customWidth="1" min="8" max="8"/>
    <col width="13" customWidth="1" min="9" max="9"/>
    <col width="13" customWidth="1" min="10" max="10"/>
    <col width="22" customWidth="1" min="11" max="11"/>
  </cols>
  <sheetData>
    <row r="1" ht="30" customHeight="1">
      <c r="A1" s="19" t="inlineStr">
        <is>
          <t>Trip Log — one row per business trip. Use dropdowns where they appear.</t>
        </is>
      </c>
    </row>
    <row r="2" ht="32" customHeight="1">
      <c r="A2" s="20" t="inlineStr">
        <is>
          <t>Date</t>
        </is>
      </c>
      <c r="B2" s="20" t="inlineStr">
        <is>
          <t>Vehicle</t>
        </is>
      </c>
      <c r="C2" s="20" t="inlineStr">
        <is>
          <t>Platform</t>
        </is>
      </c>
      <c r="D2" s="20" t="inlineStr">
        <is>
          <t>Purpose / Route</t>
        </is>
      </c>
      <c r="E2" s="20" t="inlineStr">
        <is>
          <t>Start odom.</t>
        </is>
      </c>
      <c r="F2" s="20" t="inlineStr">
        <is>
          <t>End odom.</t>
        </is>
      </c>
      <c r="G2" s="20" t="inlineStr">
        <is>
          <t>Miles</t>
        </is>
      </c>
      <c r="H2" s="20" t="inlineStr">
        <is>
          <t>Business %</t>
        </is>
      </c>
      <c r="I2" s="20" t="inlineStr">
        <is>
          <t>Business miles</t>
        </is>
      </c>
      <c r="J2" s="20" t="inlineStr">
        <is>
          <t>Deduction $</t>
        </is>
      </c>
      <c r="K2" s="20" t="inlineStr">
        <is>
          <t>Notes</t>
        </is>
      </c>
    </row>
    <row r="3" ht="22" customHeight="1">
      <c r="A3" s="21" t="inlineStr">
        <is>
          <t>2026-01-03</t>
        </is>
      </c>
      <c r="B3" s="22" t="inlineStr">
        <is>
          <t>Main car</t>
        </is>
      </c>
      <c r="C3" s="22" t="inlineStr">
        <is>
          <t>DoorDash</t>
        </is>
      </c>
      <c r="D3" s="22" t="inlineStr">
        <is>
          <t>Long Beach lunch shift</t>
        </is>
      </c>
      <c r="E3" s="23" t="n">
        <v>38500</v>
      </c>
      <c r="F3" s="23" t="n">
        <v>38582</v>
      </c>
      <c r="G3" s="23">
        <f>IF(AND(ISNUMBER(E3),ISNUMBER(F3)),F3-E3,"")</f>
        <v/>
      </c>
      <c r="H3" s="24" t="n">
        <v>1</v>
      </c>
      <c r="I3" s="25">
        <f>IF(AND(ISNUMBER(G3),ISNUMBER(H3)),G3*H3,"")</f>
        <v/>
      </c>
      <c r="J3" s="26">
        <f>IF(ISNUMBER(I3),I3*MileRate,"")</f>
        <v/>
      </c>
      <c r="K3" s="22" t="inlineStr">
        <is>
          <t>First day driving — see formulas below for how miles/deduction auto-fill</t>
        </is>
      </c>
    </row>
    <row r="4" ht="22" customHeight="1">
      <c r="A4" s="21" t="inlineStr">
        <is>
          <t>2026-01-04</t>
        </is>
      </c>
      <c r="B4" s="22" t="inlineStr">
        <is>
          <t>Main car</t>
        </is>
      </c>
      <c r="C4" s="22" t="inlineStr">
        <is>
          <t>Uber</t>
        </is>
      </c>
      <c r="D4" s="22" t="inlineStr">
        <is>
          <t>Friday airport runs</t>
        </is>
      </c>
      <c r="E4" s="22" t="n"/>
      <c r="F4" s="22" t="n"/>
      <c r="G4" s="22" t="n">
        <v>73</v>
      </c>
      <c r="H4" s="24" t="n">
        <v>1</v>
      </c>
      <c r="I4" s="25">
        <f>IF(AND(ISNUMBER(G4),ISNUMBER(H4)),G4*H4,"")</f>
        <v/>
      </c>
      <c r="J4" s="26">
        <f>IF(ISNUMBER(I4),I4*MileRate,"")</f>
        <v/>
      </c>
      <c r="K4" s="22" t="inlineStr">
        <is>
          <t>Used miles directly instead of odometer — both work</t>
        </is>
      </c>
    </row>
    <row r="5" ht="20" customHeight="1">
      <c r="A5" s="27" t="n"/>
      <c r="B5" s="28" t="n"/>
      <c r="C5" s="28" t="n"/>
      <c r="D5" s="28" t="n"/>
      <c r="E5" s="29" t="n"/>
      <c r="F5" s="29" t="n"/>
      <c r="G5" s="29">
        <f>IF(AND(ISNUMBER(E5),ISNUMBER(F5)),F5-E5,"")</f>
        <v/>
      </c>
      <c r="H5" s="30" t="n">
        <v>1</v>
      </c>
      <c r="I5" s="31">
        <f>IF(AND(ISNUMBER(G5),ISNUMBER(H5)),G5*H5,"")</f>
        <v/>
      </c>
      <c r="J5" s="32">
        <f>IF(ISNUMBER(I5),I5*MileRate,"")</f>
        <v/>
      </c>
      <c r="K5" s="28" t="n"/>
    </row>
    <row r="6" ht="20" customHeight="1">
      <c r="A6" s="27" t="n"/>
      <c r="B6" s="28" t="n"/>
      <c r="C6" s="28" t="n"/>
      <c r="D6" s="28" t="n"/>
      <c r="E6" s="29" t="n"/>
      <c r="F6" s="29" t="n"/>
      <c r="G6" s="29">
        <f>IF(AND(ISNUMBER(E6),ISNUMBER(F6)),F6-E6,"")</f>
        <v/>
      </c>
      <c r="H6" s="30" t="n">
        <v>1</v>
      </c>
      <c r="I6" s="31">
        <f>IF(AND(ISNUMBER(G6),ISNUMBER(H6)),G6*H6,"")</f>
        <v/>
      </c>
      <c r="J6" s="32">
        <f>IF(ISNUMBER(I6),I6*MileRate,"")</f>
        <v/>
      </c>
      <c r="K6" s="28" t="n"/>
    </row>
    <row r="7" ht="20" customHeight="1">
      <c r="A7" s="27" t="n"/>
      <c r="B7" s="28" t="n"/>
      <c r="C7" s="28" t="n"/>
      <c r="D7" s="28" t="n"/>
      <c r="E7" s="29" t="n"/>
      <c r="F7" s="29" t="n"/>
      <c r="G7" s="29">
        <f>IF(AND(ISNUMBER(E7),ISNUMBER(F7)),F7-E7,"")</f>
        <v/>
      </c>
      <c r="H7" s="30" t="n">
        <v>1</v>
      </c>
      <c r="I7" s="31">
        <f>IF(AND(ISNUMBER(G7),ISNUMBER(H7)),G7*H7,"")</f>
        <v/>
      </c>
      <c r="J7" s="32">
        <f>IF(ISNUMBER(I7),I7*MileRate,"")</f>
        <v/>
      </c>
      <c r="K7" s="28" t="n"/>
    </row>
    <row r="8" ht="20" customHeight="1">
      <c r="A8" s="27" t="n"/>
      <c r="B8" s="28" t="n"/>
      <c r="C8" s="28" t="n"/>
      <c r="D8" s="28" t="n"/>
      <c r="E8" s="29" t="n"/>
      <c r="F8" s="29" t="n"/>
      <c r="G8" s="29">
        <f>IF(AND(ISNUMBER(E8),ISNUMBER(F8)),F8-E8,"")</f>
        <v/>
      </c>
      <c r="H8" s="30" t="n">
        <v>1</v>
      </c>
      <c r="I8" s="31">
        <f>IF(AND(ISNUMBER(G8),ISNUMBER(H8)),G8*H8,"")</f>
        <v/>
      </c>
      <c r="J8" s="32">
        <f>IF(ISNUMBER(I8),I8*MileRate,"")</f>
        <v/>
      </c>
      <c r="K8" s="28" t="n"/>
    </row>
    <row r="9" ht="20" customHeight="1">
      <c r="A9" s="27" t="n"/>
      <c r="B9" s="28" t="n"/>
      <c r="C9" s="28" t="n"/>
      <c r="D9" s="28" t="n"/>
      <c r="E9" s="29" t="n"/>
      <c r="F9" s="29" t="n"/>
      <c r="G9" s="29">
        <f>IF(AND(ISNUMBER(E9),ISNUMBER(F9)),F9-E9,"")</f>
        <v/>
      </c>
      <c r="H9" s="30" t="n">
        <v>1</v>
      </c>
      <c r="I9" s="31">
        <f>IF(AND(ISNUMBER(G9),ISNUMBER(H9)),G9*H9,"")</f>
        <v/>
      </c>
      <c r="J9" s="32">
        <f>IF(ISNUMBER(I9),I9*MileRate,"")</f>
        <v/>
      </c>
      <c r="K9" s="28" t="n"/>
    </row>
    <row r="10" ht="20" customHeight="1">
      <c r="A10" s="27" t="n"/>
      <c r="B10" s="28" t="n"/>
      <c r="C10" s="28" t="n"/>
      <c r="D10" s="28" t="n"/>
      <c r="E10" s="29" t="n"/>
      <c r="F10" s="29" t="n"/>
      <c r="G10" s="29">
        <f>IF(AND(ISNUMBER(E10),ISNUMBER(F10)),F10-E10,"")</f>
        <v/>
      </c>
      <c r="H10" s="30" t="n">
        <v>1</v>
      </c>
      <c r="I10" s="31">
        <f>IF(AND(ISNUMBER(G10),ISNUMBER(H10)),G10*H10,"")</f>
        <v/>
      </c>
      <c r="J10" s="32">
        <f>IF(ISNUMBER(I10),I10*MileRate,"")</f>
        <v/>
      </c>
      <c r="K10" s="28" t="n"/>
    </row>
    <row r="11" ht="20" customHeight="1">
      <c r="A11" s="27" t="n"/>
      <c r="B11" s="28" t="n"/>
      <c r="C11" s="28" t="n"/>
      <c r="D11" s="28" t="n"/>
      <c r="E11" s="29" t="n"/>
      <c r="F11" s="29" t="n"/>
      <c r="G11" s="29">
        <f>IF(AND(ISNUMBER(E11),ISNUMBER(F11)),F11-E11,"")</f>
        <v/>
      </c>
      <c r="H11" s="30" t="n">
        <v>1</v>
      </c>
      <c r="I11" s="31">
        <f>IF(AND(ISNUMBER(G11),ISNUMBER(H11)),G11*H11,"")</f>
        <v/>
      </c>
      <c r="J11" s="32">
        <f>IF(ISNUMBER(I11),I11*MileRate,"")</f>
        <v/>
      </c>
      <c r="K11" s="28" t="n"/>
    </row>
    <row r="12" ht="20" customHeight="1">
      <c r="A12" s="27" t="n"/>
      <c r="B12" s="28" t="n"/>
      <c r="C12" s="28" t="n"/>
      <c r="D12" s="28" t="n"/>
      <c r="E12" s="29" t="n"/>
      <c r="F12" s="29" t="n"/>
      <c r="G12" s="29">
        <f>IF(AND(ISNUMBER(E12),ISNUMBER(F12)),F12-E12,"")</f>
        <v/>
      </c>
      <c r="H12" s="30" t="n">
        <v>1</v>
      </c>
      <c r="I12" s="31">
        <f>IF(AND(ISNUMBER(G12),ISNUMBER(H12)),G12*H12,"")</f>
        <v/>
      </c>
      <c r="J12" s="32">
        <f>IF(ISNUMBER(I12),I12*MileRate,"")</f>
        <v/>
      </c>
      <c r="K12" s="28" t="n"/>
    </row>
    <row r="13" ht="20" customHeight="1">
      <c r="A13" s="27" t="n"/>
      <c r="B13" s="28" t="n"/>
      <c r="C13" s="28" t="n"/>
      <c r="D13" s="28" t="n"/>
      <c r="E13" s="29" t="n"/>
      <c r="F13" s="29" t="n"/>
      <c r="G13" s="29">
        <f>IF(AND(ISNUMBER(E13),ISNUMBER(F13)),F13-E13,"")</f>
        <v/>
      </c>
      <c r="H13" s="30" t="n">
        <v>1</v>
      </c>
      <c r="I13" s="31">
        <f>IF(AND(ISNUMBER(G13),ISNUMBER(H13)),G13*H13,"")</f>
        <v/>
      </c>
      <c r="J13" s="32">
        <f>IF(ISNUMBER(I13),I13*MileRate,"")</f>
        <v/>
      </c>
      <c r="K13" s="28" t="n"/>
    </row>
    <row r="14" ht="20" customHeight="1">
      <c r="A14" s="27" t="n"/>
      <c r="B14" s="28" t="n"/>
      <c r="C14" s="28" t="n"/>
      <c r="D14" s="28" t="n"/>
      <c r="E14" s="29" t="n"/>
      <c r="F14" s="29" t="n"/>
      <c r="G14" s="29">
        <f>IF(AND(ISNUMBER(E14),ISNUMBER(F14)),F14-E14,"")</f>
        <v/>
      </c>
      <c r="H14" s="30" t="n">
        <v>1</v>
      </c>
      <c r="I14" s="31">
        <f>IF(AND(ISNUMBER(G14),ISNUMBER(H14)),G14*H14,"")</f>
        <v/>
      </c>
      <c r="J14" s="32">
        <f>IF(ISNUMBER(I14),I14*MileRate,"")</f>
        <v/>
      </c>
      <c r="K14" s="28" t="n"/>
    </row>
    <row r="15" ht="20" customHeight="1">
      <c r="A15" s="27" t="n"/>
      <c r="B15" s="28" t="n"/>
      <c r="C15" s="28" t="n"/>
      <c r="D15" s="28" t="n"/>
      <c r="E15" s="29" t="n"/>
      <c r="F15" s="29" t="n"/>
      <c r="G15" s="29">
        <f>IF(AND(ISNUMBER(E15),ISNUMBER(F15)),F15-E15,"")</f>
        <v/>
      </c>
      <c r="H15" s="30" t="n">
        <v>1</v>
      </c>
      <c r="I15" s="31">
        <f>IF(AND(ISNUMBER(G15),ISNUMBER(H15)),G15*H15,"")</f>
        <v/>
      </c>
      <c r="J15" s="32">
        <f>IF(ISNUMBER(I15),I15*MileRate,"")</f>
        <v/>
      </c>
      <c r="K15" s="28" t="n"/>
    </row>
    <row r="16" ht="20" customHeight="1">
      <c r="A16" s="27" t="n"/>
      <c r="B16" s="28" t="n"/>
      <c r="C16" s="28" t="n"/>
      <c r="D16" s="28" t="n"/>
      <c r="E16" s="29" t="n"/>
      <c r="F16" s="29" t="n"/>
      <c r="G16" s="29">
        <f>IF(AND(ISNUMBER(E16),ISNUMBER(F16)),F16-E16,"")</f>
        <v/>
      </c>
      <c r="H16" s="30" t="n">
        <v>1</v>
      </c>
      <c r="I16" s="31">
        <f>IF(AND(ISNUMBER(G16),ISNUMBER(H16)),G16*H16,"")</f>
        <v/>
      </c>
      <c r="J16" s="32">
        <f>IF(ISNUMBER(I16),I16*MileRate,"")</f>
        <v/>
      </c>
      <c r="K16" s="28" t="n"/>
    </row>
    <row r="17" ht="20" customHeight="1">
      <c r="A17" s="27" t="n"/>
      <c r="B17" s="28" t="n"/>
      <c r="C17" s="28" t="n"/>
      <c r="D17" s="28" t="n"/>
      <c r="E17" s="29" t="n"/>
      <c r="F17" s="29" t="n"/>
      <c r="G17" s="29">
        <f>IF(AND(ISNUMBER(E17),ISNUMBER(F17)),F17-E17,"")</f>
        <v/>
      </c>
      <c r="H17" s="30" t="n">
        <v>1</v>
      </c>
      <c r="I17" s="31">
        <f>IF(AND(ISNUMBER(G17),ISNUMBER(H17)),G17*H17,"")</f>
        <v/>
      </c>
      <c r="J17" s="32">
        <f>IF(ISNUMBER(I17),I17*MileRate,"")</f>
        <v/>
      </c>
      <c r="K17" s="28" t="n"/>
    </row>
    <row r="18" ht="20" customHeight="1">
      <c r="A18" s="27" t="n"/>
      <c r="B18" s="28" t="n"/>
      <c r="C18" s="28" t="n"/>
      <c r="D18" s="28" t="n"/>
      <c r="E18" s="29" t="n"/>
      <c r="F18" s="29" t="n"/>
      <c r="G18" s="29">
        <f>IF(AND(ISNUMBER(E18),ISNUMBER(F18)),F18-E18,"")</f>
        <v/>
      </c>
      <c r="H18" s="30" t="n">
        <v>1</v>
      </c>
      <c r="I18" s="31">
        <f>IF(AND(ISNUMBER(G18),ISNUMBER(H18)),G18*H18,"")</f>
        <v/>
      </c>
      <c r="J18" s="32">
        <f>IF(ISNUMBER(I18),I18*MileRate,"")</f>
        <v/>
      </c>
      <c r="K18" s="28" t="n"/>
    </row>
    <row r="19" ht="20" customHeight="1">
      <c r="A19" s="27" t="n"/>
      <c r="B19" s="28" t="n"/>
      <c r="C19" s="28" t="n"/>
      <c r="D19" s="28" t="n"/>
      <c r="E19" s="29" t="n"/>
      <c r="F19" s="29" t="n"/>
      <c r="G19" s="29">
        <f>IF(AND(ISNUMBER(E19),ISNUMBER(F19)),F19-E19,"")</f>
        <v/>
      </c>
      <c r="H19" s="30" t="n">
        <v>1</v>
      </c>
      <c r="I19" s="31">
        <f>IF(AND(ISNUMBER(G19),ISNUMBER(H19)),G19*H19,"")</f>
        <v/>
      </c>
      <c r="J19" s="32">
        <f>IF(ISNUMBER(I19),I19*MileRate,"")</f>
        <v/>
      </c>
      <c r="K19" s="28" t="n"/>
    </row>
    <row r="20" ht="20" customHeight="1">
      <c r="A20" s="27" t="n"/>
      <c r="B20" s="28" t="n"/>
      <c r="C20" s="28" t="n"/>
      <c r="D20" s="28" t="n"/>
      <c r="E20" s="29" t="n"/>
      <c r="F20" s="29" t="n"/>
      <c r="G20" s="29">
        <f>IF(AND(ISNUMBER(E20),ISNUMBER(F20)),F20-E20,"")</f>
        <v/>
      </c>
      <c r="H20" s="30" t="n">
        <v>1</v>
      </c>
      <c r="I20" s="31">
        <f>IF(AND(ISNUMBER(G20),ISNUMBER(H20)),G20*H20,"")</f>
        <v/>
      </c>
      <c r="J20" s="32">
        <f>IF(ISNUMBER(I20),I20*MileRate,"")</f>
        <v/>
      </c>
      <c r="K20" s="28" t="n"/>
    </row>
    <row r="21" ht="20" customHeight="1">
      <c r="A21" s="27" t="n"/>
      <c r="B21" s="28" t="n"/>
      <c r="C21" s="28" t="n"/>
      <c r="D21" s="28" t="n"/>
      <c r="E21" s="29" t="n"/>
      <c r="F21" s="29" t="n"/>
      <c r="G21" s="29">
        <f>IF(AND(ISNUMBER(E21),ISNUMBER(F21)),F21-E21,"")</f>
        <v/>
      </c>
      <c r="H21" s="30" t="n">
        <v>1</v>
      </c>
      <c r="I21" s="31">
        <f>IF(AND(ISNUMBER(G21),ISNUMBER(H21)),G21*H21,"")</f>
        <v/>
      </c>
      <c r="J21" s="32">
        <f>IF(ISNUMBER(I21),I21*MileRate,"")</f>
        <v/>
      </c>
      <c r="K21" s="28" t="n"/>
    </row>
    <row r="22" ht="20" customHeight="1">
      <c r="A22" s="27" t="n"/>
      <c r="B22" s="28" t="n"/>
      <c r="C22" s="28" t="n"/>
      <c r="D22" s="28" t="n"/>
      <c r="E22" s="29" t="n"/>
      <c r="F22" s="29" t="n"/>
      <c r="G22" s="29">
        <f>IF(AND(ISNUMBER(E22),ISNUMBER(F22)),F22-E22,"")</f>
        <v/>
      </c>
      <c r="H22" s="30" t="n">
        <v>1</v>
      </c>
      <c r="I22" s="31">
        <f>IF(AND(ISNUMBER(G22),ISNUMBER(H22)),G22*H22,"")</f>
        <v/>
      </c>
      <c r="J22" s="32">
        <f>IF(ISNUMBER(I22),I22*MileRate,"")</f>
        <v/>
      </c>
      <c r="K22" s="28" t="n"/>
    </row>
    <row r="23" ht="20" customHeight="1">
      <c r="A23" s="27" t="n"/>
      <c r="B23" s="28" t="n"/>
      <c r="C23" s="28" t="n"/>
      <c r="D23" s="28" t="n"/>
      <c r="E23" s="29" t="n"/>
      <c r="F23" s="29" t="n"/>
      <c r="G23" s="29">
        <f>IF(AND(ISNUMBER(E23),ISNUMBER(F23)),F23-E23,"")</f>
        <v/>
      </c>
      <c r="H23" s="30" t="n">
        <v>1</v>
      </c>
      <c r="I23" s="31">
        <f>IF(AND(ISNUMBER(G23),ISNUMBER(H23)),G23*H23,"")</f>
        <v/>
      </c>
      <c r="J23" s="32">
        <f>IF(ISNUMBER(I23),I23*MileRate,"")</f>
        <v/>
      </c>
      <c r="K23" s="28" t="n"/>
    </row>
    <row r="24" ht="20" customHeight="1">
      <c r="A24" s="27" t="n"/>
      <c r="B24" s="28" t="n"/>
      <c r="C24" s="28" t="n"/>
      <c r="D24" s="28" t="n"/>
      <c r="E24" s="29" t="n"/>
      <c r="F24" s="29" t="n"/>
      <c r="G24" s="29">
        <f>IF(AND(ISNUMBER(E24),ISNUMBER(F24)),F24-E24,"")</f>
        <v/>
      </c>
      <c r="H24" s="30" t="n">
        <v>1</v>
      </c>
      <c r="I24" s="31">
        <f>IF(AND(ISNUMBER(G24),ISNUMBER(H24)),G24*H24,"")</f>
        <v/>
      </c>
      <c r="J24" s="32">
        <f>IF(ISNUMBER(I24),I24*MileRate,"")</f>
        <v/>
      </c>
      <c r="K24" s="28" t="n"/>
    </row>
    <row r="25" ht="20" customHeight="1">
      <c r="A25" s="27" t="n"/>
      <c r="B25" s="28" t="n"/>
      <c r="C25" s="28" t="n"/>
      <c r="D25" s="28" t="n"/>
      <c r="E25" s="29" t="n"/>
      <c r="F25" s="29" t="n"/>
      <c r="G25" s="29">
        <f>IF(AND(ISNUMBER(E25),ISNUMBER(F25)),F25-E25,"")</f>
        <v/>
      </c>
      <c r="H25" s="30" t="n">
        <v>1</v>
      </c>
      <c r="I25" s="31">
        <f>IF(AND(ISNUMBER(G25),ISNUMBER(H25)),G25*H25,"")</f>
        <v/>
      </c>
      <c r="J25" s="32">
        <f>IF(ISNUMBER(I25),I25*MileRate,"")</f>
        <v/>
      </c>
      <c r="K25" s="28" t="n"/>
    </row>
    <row r="26" ht="20" customHeight="1">
      <c r="A26" s="27" t="n"/>
      <c r="B26" s="28" t="n"/>
      <c r="C26" s="28" t="n"/>
      <c r="D26" s="28" t="n"/>
      <c r="E26" s="29" t="n"/>
      <c r="F26" s="29" t="n"/>
      <c r="G26" s="29">
        <f>IF(AND(ISNUMBER(E26),ISNUMBER(F26)),F26-E26,"")</f>
        <v/>
      </c>
      <c r="H26" s="30" t="n">
        <v>1</v>
      </c>
      <c r="I26" s="31">
        <f>IF(AND(ISNUMBER(G26),ISNUMBER(H26)),G26*H26,"")</f>
        <v/>
      </c>
      <c r="J26" s="32">
        <f>IF(ISNUMBER(I26),I26*MileRate,"")</f>
        <v/>
      </c>
      <c r="K26" s="28" t="n"/>
    </row>
    <row r="27" ht="20" customHeight="1">
      <c r="A27" s="27" t="n"/>
      <c r="B27" s="28" t="n"/>
      <c r="C27" s="28" t="n"/>
      <c r="D27" s="28" t="n"/>
      <c r="E27" s="29" t="n"/>
      <c r="F27" s="29" t="n"/>
      <c r="G27" s="29">
        <f>IF(AND(ISNUMBER(E27),ISNUMBER(F27)),F27-E27,"")</f>
        <v/>
      </c>
      <c r="H27" s="30" t="n">
        <v>1</v>
      </c>
      <c r="I27" s="31">
        <f>IF(AND(ISNUMBER(G27),ISNUMBER(H27)),G27*H27,"")</f>
        <v/>
      </c>
      <c r="J27" s="32">
        <f>IF(ISNUMBER(I27),I27*MileRate,"")</f>
        <v/>
      </c>
      <c r="K27" s="28" t="n"/>
    </row>
    <row r="28" ht="20" customHeight="1">
      <c r="A28" s="27" t="n"/>
      <c r="B28" s="28" t="n"/>
      <c r="C28" s="28" t="n"/>
      <c r="D28" s="28" t="n"/>
      <c r="E28" s="29" t="n"/>
      <c r="F28" s="29" t="n"/>
      <c r="G28" s="29">
        <f>IF(AND(ISNUMBER(E28),ISNUMBER(F28)),F28-E28,"")</f>
        <v/>
      </c>
      <c r="H28" s="30" t="n">
        <v>1</v>
      </c>
      <c r="I28" s="31">
        <f>IF(AND(ISNUMBER(G28),ISNUMBER(H28)),G28*H28,"")</f>
        <v/>
      </c>
      <c r="J28" s="32">
        <f>IF(ISNUMBER(I28),I28*MileRate,"")</f>
        <v/>
      </c>
      <c r="K28" s="28" t="n"/>
    </row>
    <row r="29" ht="20" customHeight="1">
      <c r="A29" s="27" t="n"/>
      <c r="B29" s="28" t="n"/>
      <c r="C29" s="28" t="n"/>
      <c r="D29" s="28" t="n"/>
      <c r="E29" s="29" t="n"/>
      <c r="F29" s="29" t="n"/>
      <c r="G29" s="29">
        <f>IF(AND(ISNUMBER(E29),ISNUMBER(F29)),F29-E29,"")</f>
        <v/>
      </c>
      <c r="H29" s="30" t="n">
        <v>1</v>
      </c>
      <c r="I29" s="31">
        <f>IF(AND(ISNUMBER(G29),ISNUMBER(H29)),G29*H29,"")</f>
        <v/>
      </c>
      <c r="J29" s="32">
        <f>IF(ISNUMBER(I29),I29*MileRate,"")</f>
        <v/>
      </c>
      <c r="K29" s="28" t="n"/>
    </row>
    <row r="30" ht="20" customHeight="1">
      <c r="A30" s="27" t="n"/>
      <c r="B30" s="28" t="n"/>
      <c r="C30" s="28" t="n"/>
      <c r="D30" s="28" t="n"/>
      <c r="E30" s="29" t="n"/>
      <c r="F30" s="29" t="n"/>
      <c r="G30" s="29">
        <f>IF(AND(ISNUMBER(E30),ISNUMBER(F30)),F30-E30,"")</f>
        <v/>
      </c>
      <c r="H30" s="30" t="n">
        <v>1</v>
      </c>
      <c r="I30" s="31">
        <f>IF(AND(ISNUMBER(G30),ISNUMBER(H30)),G30*H30,"")</f>
        <v/>
      </c>
      <c r="J30" s="32">
        <f>IF(ISNUMBER(I30),I30*MileRate,"")</f>
        <v/>
      </c>
      <c r="K30" s="28" t="n"/>
    </row>
    <row r="31" ht="20" customHeight="1">
      <c r="A31" s="27" t="n"/>
      <c r="B31" s="28" t="n"/>
      <c r="C31" s="28" t="n"/>
      <c r="D31" s="28" t="n"/>
      <c r="E31" s="29" t="n"/>
      <c r="F31" s="29" t="n"/>
      <c r="G31" s="29">
        <f>IF(AND(ISNUMBER(E31),ISNUMBER(F31)),F31-E31,"")</f>
        <v/>
      </c>
      <c r="H31" s="30" t="n">
        <v>1</v>
      </c>
      <c r="I31" s="31">
        <f>IF(AND(ISNUMBER(G31),ISNUMBER(H31)),G31*H31,"")</f>
        <v/>
      </c>
      <c r="J31" s="32">
        <f>IF(ISNUMBER(I31),I31*MileRate,"")</f>
        <v/>
      </c>
      <c r="K31" s="28" t="n"/>
    </row>
    <row r="32" ht="20" customHeight="1">
      <c r="A32" s="27" t="n"/>
      <c r="B32" s="28" t="n"/>
      <c r="C32" s="28" t="n"/>
      <c r="D32" s="28" t="n"/>
      <c r="E32" s="29" t="n"/>
      <c r="F32" s="29" t="n"/>
      <c r="G32" s="29">
        <f>IF(AND(ISNUMBER(E32),ISNUMBER(F32)),F32-E32,"")</f>
        <v/>
      </c>
      <c r="H32" s="30" t="n">
        <v>1</v>
      </c>
      <c r="I32" s="31">
        <f>IF(AND(ISNUMBER(G32),ISNUMBER(H32)),G32*H32,"")</f>
        <v/>
      </c>
      <c r="J32" s="32">
        <f>IF(ISNUMBER(I32),I32*MileRate,"")</f>
        <v/>
      </c>
      <c r="K32" s="28" t="n"/>
    </row>
    <row r="33" ht="20" customHeight="1">
      <c r="A33" s="27" t="n"/>
      <c r="B33" s="28" t="n"/>
      <c r="C33" s="28" t="n"/>
      <c r="D33" s="28" t="n"/>
      <c r="E33" s="29" t="n"/>
      <c r="F33" s="29" t="n"/>
      <c r="G33" s="29">
        <f>IF(AND(ISNUMBER(E33),ISNUMBER(F33)),F33-E33,"")</f>
        <v/>
      </c>
      <c r="H33" s="30" t="n">
        <v>1</v>
      </c>
      <c r="I33" s="31">
        <f>IF(AND(ISNUMBER(G33),ISNUMBER(H33)),G33*H33,"")</f>
        <v/>
      </c>
      <c r="J33" s="32">
        <f>IF(ISNUMBER(I33),I33*MileRate,"")</f>
        <v/>
      </c>
      <c r="K33" s="28" t="n"/>
    </row>
    <row r="34" ht="20" customHeight="1">
      <c r="A34" s="27" t="n"/>
      <c r="B34" s="28" t="n"/>
      <c r="C34" s="28" t="n"/>
      <c r="D34" s="28" t="n"/>
      <c r="E34" s="29" t="n"/>
      <c r="F34" s="29" t="n"/>
      <c r="G34" s="29">
        <f>IF(AND(ISNUMBER(E34),ISNUMBER(F34)),F34-E34,"")</f>
        <v/>
      </c>
      <c r="H34" s="30" t="n">
        <v>1</v>
      </c>
      <c r="I34" s="31">
        <f>IF(AND(ISNUMBER(G34),ISNUMBER(H34)),G34*H34,"")</f>
        <v/>
      </c>
      <c r="J34" s="32">
        <f>IF(ISNUMBER(I34),I34*MileRate,"")</f>
        <v/>
      </c>
      <c r="K34" s="28" t="n"/>
    </row>
    <row r="35" ht="20" customHeight="1">
      <c r="A35" s="27" t="n"/>
      <c r="B35" s="28" t="n"/>
      <c r="C35" s="28" t="n"/>
      <c r="D35" s="28" t="n"/>
      <c r="E35" s="29" t="n"/>
      <c r="F35" s="29" t="n"/>
      <c r="G35" s="29">
        <f>IF(AND(ISNUMBER(E35),ISNUMBER(F35)),F35-E35,"")</f>
        <v/>
      </c>
      <c r="H35" s="30" t="n">
        <v>1</v>
      </c>
      <c r="I35" s="31">
        <f>IF(AND(ISNUMBER(G35),ISNUMBER(H35)),G35*H35,"")</f>
        <v/>
      </c>
      <c r="J35" s="32">
        <f>IF(ISNUMBER(I35),I35*MileRate,"")</f>
        <v/>
      </c>
      <c r="K35" s="28" t="n"/>
    </row>
    <row r="36" ht="20" customHeight="1">
      <c r="A36" s="27" t="n"/>
      <c r="B36" s="28" t="n"/>
      <c r="C36" s="28" t="n"/>
      <c r="D36" s="28" t="n"/>
      <c r="E36" s="29" t="n"/>
      <c r="F36" s="29" t="n"/>
      <c r="G36" s="29">
        <f>IF(AND(ISNUMBER(E36),ISNUMBER(F36)),F36-E36,"")</f>
        <v/>
      </c>
      <c r="H36" s="30" t="n">
        <v>1</v>
      </c>
      <c r="I36" s="31">
        <f>IF(AND(ISNUMBER(G36),ISNUMBER(H36)),G36*H36,"")</f>
        <v/>
      </c>
      <c r="J36" s="32">
        <f>IF(ISNUMBER(I36),I36*MileRate,"")</f>
        <v/>
      </c>
      <c r="K36" s="28" t="n"/>
    </row>
    <row r="37" ht="20" customHeight="1">
      <c r="A37" s="27" t="n"/>
      <c r="B37" s="28" t="n"/>
      <c r="C37" s="28" t="n"/>
      <c r="D37" s="28" t="n"/>
      <c r="E37" s="29" t="n"/>
      <c r="F37" s="29" t="n"/>
      <c r="G37" s="29">
        <f>IF(AND(ISNUMBER(E37),ISNUMBER(F37)),F37-E37,"")</f>
        <v/>
      </c>
      <c r="H37" s="30" t="n">
        <v>1</v>
      </c>
      <c r="I37" s="31">
        <f>IF(AND(ISNUMBER(G37),ISNUMBER(H37)),G37*H37,"")</f>
        <v/>
      </c>
      <c r="J37" s="32">
        <f>IF(ISNUMBER(I37),I37*MileRate,"")</f>
        <v/>
      </c>
      <c r="K37" s="28" t="n"/>
    </row>
    <row r="38" ht="20" customHeight="1">
      <c r="A38" s="27" t="n"/>
      <c r="B38" s="28" t="n"/>
      <c r="C38" s="28" t="n"/>
      <c r="D38" s="28" t="n"/>
      <c r="E38" s="29" t="n"/>
      <c r="F38" s="29" t="n"/>
      <c r="G38" s="29">
        <f>IF(AND(ISNUMBER(E38),ISNUMBER(F38)),F38-E38,"")</f>
        <v/>
      </c>
      <c r="H38" s="30" t="n">
        <v>1</v>
      </c>
      <c r="I38" s="31">
        <f>IF(AND(ISNUMBER(G38),ISNUMBER(H38)),G38*H38,"")</f>
        <v/>
      </c>
      <c r="J38" s="32">
        <f>IF(ISNUMBER(I38),I38*MileRate,"")</f>
        <v/>
      </c>
      <c r="K38" s="28" t="n"/>
    </row>
    <row r="39" ht="20" customHeight="1">
      <c r="A39" s="27" t="n"/>
      <c r="B39" s="28" t="n"/>
      <c r="C39" s="28" t="n"/>
      <c r="D39" s="28" t="n"/>
      <c r="E39" s="29" t="n"/>
      <c r="F39" s="29" t="n"/>
      <c r="G39" s="29">
        <f>IF(AND(ISNUMBER(E39),ISNUMBER(F39)),F39-E39,"")</f>
        <v/>
      </c>
      <c r="H39" s="30" t="n">
        <v>1</v>
      </c>
      <c r="I39" s="31">
        <f>IF(AND(ISNUMBER(G39),ISNUMBER(H39)),G39*H39,"")</f>
        <v/>
      </c>
      <c r="J39" s="32">
        <f>IF(ISNUMBER(I39),I39*MileRate,"")</f>
        <v/>
      </c>
      <c r="K39" s="28" t="n"/>
    </row>
    <row r="40" ht="20" customHeight="1">
      <c r="A40" s="27" t="n"/>
      <c r="B40" s="28" t="n"/>
      <c r="C40" s="28" t="n"/>
      <c r="D40" s="28" t="n"/>
      <c r="E40" s="29" t="n"/>
      <c r="F40" s="29" t="n"/>
      <c r="G40" s="29">
        <f>IF(AND(ISNUMBER(E40),ISNUMBER(F40)),F40-E40,"")</f>
        <v/>
      </c>
      <c r="H40" s="30" t="n">
        <v>1</v>
      </c>
      <c r="I40" s="31">
        <f>IF(AND(ISNUMBER(G40),ISNUMBER(H40)),G40*H40,"")</f>
        <v/>
      </c>
      <c r="J40" s="32">
        <f>IF(ISNUMBER(I40),I40*MileRate,"")</f>
        <v/>
      </c>
      <c r="K40" s="28" t="n"/>
    </row>
    <row r="41" ht="20" customHeight="1">
      <c r="A41" s="27" t="n"/>
      <c r="B41" s="28" t="n"/>
      <c r="C41" s="28" t="n"/>
      <c r="D41" s="28" t="n"/>
      <c r="E41" s="29" t="n"/>
      <c r="F41" s="29" t="n"/>
      <c r="G41" s="29">
        <f>IF(AND(ISNUMBER(E41),ISNUMBER(F41)),F41-E41,"")</f>
        <v/>
      </c>
      <c r="H41" s="30" t="n">
        <v>1</v>
      </c>
      <c r="I41" s="31">
        <f>IF(AND(ISNUMBER(G41),ISNUMBER(H41)),G41*H41,"")</f>
        <v/>
      </c>
      <c r="J41" s="32">
        <f>IF(ISNUMBER(I41),I41*MileRate,"")</f>
        <v/>
      </c>
      <c r="K41" s="28" t="n"/>
    </row>
    <row r="42" ht="20" customHeight="1">
      <c r="A42" s="27" t="n"/>
      <c r="B42" s="28" t="n"/>
      <c r="C42" s="28" t="n"/>
      <c r="D42" s="28" t="n"/>
      <c r="E42" s="29" t="n"/>
      <c r="F42" s="29" t="n"/>
      <c r="G42" s="29">
        <f>IF(AND(ISNUMBER(E42),ISNUMBER(F42)),F42-E42,"")</f>
        <v/>
      </c>
      <c r="H42" s="30" t="n">
        <v>1</v>
      </c>
      <c r="I42" s="31">
        <f>IF(AND(ISNUMBER(G42),ISNUMBER(H42)),G42*H42,"")</f>
        <v/>
      </c>
      <c r="J42" s="32">
        <f>IF(ISNUMBER(I42),I42*MileRate,"")</f>
        <v/>
      </c>
      <c r="K42" s="28" t="n"/>
    </row>
    <row r="43" ht="20" customHeight="1">
      <c r="A43" s="27" t="n"/>
      <c r="B43" s="28" t="n"/>
      <c r="C43" s="28" t="n"/>
      <c r="D43" s="28" t="n"/>
      <c r="E43" s="29" t="n"/>
      <c r="F43" s="29" t="n"/>
      <c r="G43" s="29">
        <f>IF(AND(ISNUMBER(E43),ISNUMBER(F43)),F43-E43,"")</f>
        <v/>
      </c>
      <c r="H43" s="30" t="n">
        <v>1</v>
      </c>
      <c r="I43" s="31">
        <f>IF(AND(ISNUMBER(G43),ISNUMBER(H43)),G43*H43,"")</f>
        <v/>
      </c>
      <c r="J43" s="32">
        <f>IF(ISNUMBER(I43),I43*MileRate,"")</f>
        <v/>
      </c>
      <c r="K43" s="28" t="n"/>
    </row>
    <row r="44" ht="20" customHeight="1">
      <c r="A44" s="27" t="n"/>
      <c r="B44" s="28" t="n"/>
      <c r="C44" s="28" t="n"/>
      <c r="D44" s="28" t="n"/>
      <c r="E44" s="29" t="n"/>
      <c r="F44" s="29" t="n"/>
      <c r="G44" s="29">
        <f>IF(AND(ISNUMBER(E44),ISNUMBER(F44)),F44-E44,"")</f>
        <v/>
      </c>
      <c r="H44" s="30" t="n">
        <v>1</v>
      </c>
      <c r="I44" s="31">
        <f>IF(AND(ISNUMBER(G44),ISNUMBER(H44)),G44*H44,"")</f>
        <v/>
      </c>
      <c r="J44" s="32">
        <f>IF(ISNUMBER(I44),I44*MileRate,"")</f>
        <v/>
      </c>
      <c r="K44" s="28" t="n"/>
    </row>
    <row r="45" ht="20" customHeight="1">
      <c r="A45" s="27" t="n"/>
      <c r="B45" s="28" t="n"/>
      <c r="C45" s="28" t="n"/>
      <c r="D45" s="28" t="n"/>
      <c r="E45" s="29" t="n"/>
      <c r="F45" s="29" t="n"/>
      <c r="G45" s="29">
        <f>IF(AND(ISNUMBER(E45),ISNUMBER(F45)),F45-E45,"")</f>
        <v/>
      </c>
      <c r="H45" s="30" t="n">
        <v>1</v>
      </c>
      <c r="I45" s="31">
        <f>IF(AND(ISNUMBER(G45),ISNUMBER(H45)),G45*H45,"")</f>
        <v/>
      </c>
      <c r="J45" s="32">
        <f>IF(ISNUMBER(I45),I45*MileRate,"")</f>
        <v/>
      </c>
      <c r="K45" s="28" t="n"/>
    </row>
    <row r="46" ht="20" customHeight="1">
      <c r="A46" s="27" t="n"/>
      <c r="B46" s="28" t="n"/>
      <c r="C46" s="28" t="n"/>
      <c r="D46" s="28" t="n"/>
      <c r="E46" s="29" t="n"/>
      <c r="F46" s="29" t="n"/>
      <c r="G46" s="29">
        <f>IF(AND(ISNUMBER(E46),ISNUMBER(F46)),F46-E46,"")</f>
        <v/>
      </c>
      <c r="H46" s="30" t="n">
        <v>1</v>
      </c>
      <c r="I46" s="31">
        <f>IF(AND(ISNUMBER(G46),ISNUMBER(H46)),G46*H46,"")</f>
        <v/>
      </c>
      <c r="J46" s="32">
        <f>IF(ISNUMBER(I46),I46*MileRate,"")</f>
        <v/>
      </c>
      <c r="K46" s="28" t="n"/>
    </row>
    <row r="47" ht="20" customHeight="1">
      <c r="A47" s="27" t="n"/>
      <c r="B47" s="28" t="n"/>
      <c r="C47" s="28" t="n"/>
      <c r="D47" s="28" t="n"/>
      <c r="E47" s="29" t="n"/>
      <c r="F47" s="29" t="n"/>
      <c r="G47" s="29">
        <f>IF(AND(ISNUMBER(E47),ISNUMBER(F47)),F47-E47,"")</f>
        <v/>
      </c>
      <c r="H47" s="30" t="n">
        <v>1</v>
      </c>
      <c r="I47" s="31">
        <f>IF(AND(ISNUMBER(G47),ISNUMBER(H47)),G47*H47,"")</f>
        <v/>
      </c>
      <c r="J47" s="32">
        <f>IF(ISNUMBER(I47),I47*MileRate,"")</f>
        <v/>
      </c>
      <c r="K47" s="28" t="n"/>
    </row>
    <row r="48" ht="20" customHeight="1">
      <c r="A48" s="27" t="n"/>
      <c r="B48" s="28" t="n"/>
      <c r="C48" s="28" t="n"/>
      <c r="D48" s="28" t="n"/>
      <c r="E48" s="29" t="n"/>
      <c r="F48" s="29" t="n"/>
      <c r="G48" s="29">
        <f>IF(AND(ISNUMBER(E48),ISNUMBER(F48)),F48-E48,"")</f>
        <v/>
      </c>
      <c r="H48" s="30" t="n">
        <v>1</v>
      </c>
      <c r="I48" s="31">
        <f>IF(AND(ISNUMBER(G48),ISNUMBER(H48)),G48*H48,"")</f>
        <v/>
      </c>
      <c r="J48" s="32">
        <f>IF(ISNUMBER(I48),I48*MileRate,"")</f>
        <v/>
      </c>
      <c r="K48" s="28" t="n"/>
    </row>
    <row r="49" ht="20" customHeight="1">
      <c r="A49" s="27" t="n"/>
      <c r="B49" s="28" t="n"/>
      <c r="C49" s="28" t="n"/>
      <c r="D49" s="28" t="n"/>
      <c r="E49" s="29" t="n"/>
      <c r="F49" s="29" t="n"/>
      <c r="G49" s="29">
        <f>IF(AND(ISNUMBER(E49),ISNUMBER(F49)),F49-E49,"")</f>
        <v/>
      </c>
      <c r="H49" s="30" t="n">
        <v>1</v>
      </c>
      <c r="I49" s="31">
        <f>IF(AND(ISNUMBER(G49),ISNUMBER(H49)),G49*H49,"")</f>
        <v/>
      </c>
      <c r="J49" s="32">
        <f>IF(ISNUMBER(I49),I49*MileRate,"")</f>
        <v/>
      </c>
      <c r="K49" s="28" t="n"/>
    </row>
    <row r="50" ht="20" customHeight="1">
      <c r="A50" s="27" t="n"/>
      <c r="B50" s="28" t="n"/>
      <c r="C50" s="28" t="n"/>
      <c r="D50" s="28" t="n"/>
      <c r="E50" s="29" t="n"/>
      <c r="F50" s="29" t="n"/>
      <c r="G50" s="29">
        <f>IF(AND(ISNUMBER(E50),ISNUMBER(F50)),F50-E50,"")</f>
        <v/>
      </c>
      <c r="H50" s="30" t="n">
        <v>1</v>
      </c>
      <c r="I50" s="31">
        <f>IF(AND(ISNUMBER(G50),ISNUMBER(H50)),G50*H50,"")</f>
        <v/>
      </c>
      <c r="J50" s="32">
        <f>IF(ISNUMBER(I50),I50*MileRate,"")</f>
        <v/>
      </c>
      <c r="K50" s="28" t="n"/>
    </row>
    <row r="51" ht="20" customHeight="1">
      <c r="A51" s="27" t="n"/>
      <c r="B51" s="28" t="n"/>
      <c r="C51" s="28" t="n"/>
      <c r="D51" s="28" t="n"/>
      <c r="E51" s="29" t="n"/>
      <c r="F51" s="29" t="n"/>
      <c r="G51" s="29">
        <f>IF(AND(ISNUMBER(E51),ISNUMBER(F51)),F51-E51,"")</f>
        <v/>
      </c>
      <c r="H51" s="30" t="n">
        <v>1</v>
      </c>
      <c r="I51" s="31">
        <f>IF(AND(ISNUMBER(G51),ISNUMBER(H51)),G51*H51,"")</f>
        <v/>
      </c>
      <c r="J51" s="32">
        <f>IF(ISNUMBER(I51),I51*MileRate,"")</f>
        <v/>
      </c>
      <c r="K51" s="28" t="n"/>
    </row>
    <row r="52" ht="20" customHeight="1">
      <c r="A52" s="27" t="n"/>
      <c r="B52" s="28" t="n"/>
      <c r="C52" s="28" t="n"/>
      <c r="D52" s="28" t="n"/>
      <c r="E52" s="29" t="n"/>
      <c r="F52" s="29" t="n"/>
      <c r="G52" s="29">
        <f>IF(AND(ISNUMBER(E52),ISNUMBER(F52)),F52-E52,"")</f>
        <v/>
      </c>
      <c r="H52" s="30" t="n">
        <v>1</v>
      </c>
      <c r="I52" s="31">
        <f>IF(AND(ISNUMBER(G52),ISNUMBER(H52)),G52*H52,"")</f>
        <v/>
      </c>
      <c r="J52" s="32">
        <f>IF(ISNUMBER(I52),I52*MileRate,"")</f>
        <v/>
      </c>
      <c r="K52" s="28" t="n"/>
    </row>
    <row r="53" ht="20" customHeight="1">
      <c r="A53" s="27" t="n"/>
      <c r="B53" s="28" t="n"/>
      <c r="C53" s="28" t="n"/>
      <c r="D53" s="28" t="n"/>
      <c r="E53" s="29" t="n"/>
      <c r="F53" s="29" t="n"/>
      <c r="G53" s="29">
        <f>IF(AND(ISNUMBER(E53),ISNUMBER(F53)),F53-E53,"")</f>
        <v/>
      </c>
      <c r="H53" s="30" t="n">
        <v>1</v>
      </c>
      <c r="I53" s="31">
        <f>IF(AND(ISNUMBER(G53),ISNUMBER(H53)),G53*H53,"")</f>
        <v/>
      </c>
      <c r="J53" s="32">
        <f>IF(ISNUMBER(I53),I53*MileRate,"")</f>
        <v/>
      </c>
      <c r="K53" s="28" t="n"/>
    </row>
    <row r="54" ht="20" customHeight="1">
      <c r="A54" s="27" t="n"/>
      <c r="B54" s="28" t="n"/>
      <c r="C54" s="28" t="n"/>
      <c r="D54" s="28" t="n"/>
      <c r="E54" s="29" t="n"/>
      <c r="F54" s="29" t="n"/>
      <c r="G54" s="29">
        <f>IF(AND(ISNUMBER(E54),ISNUMBER(F54)),F54-E54,"")</f>
        <v/>
      </c>
      <c r="H54" s="30" t="n">
        <v>1</v>
      </c>
      <c r="I54" s="31">
        <f>IF(AND(ISNUMBER(G54),ISNUMBER(H54)),G54*H54,"")</f>
        <v/>
      </c>
      <c r="J54" s="32">
        <f>IF(ISNUMBER(I54),I54*MileRate,"")</f>
        <v/>
      </c>
      <c r="K54" s="28" t="n"/>
    </row>
    <row r="55" ht="20" customHeight="1">
      <c r="A55" s="27" t="n"/>
      <c r="B55" s="28" t="n"/>
      <c r="C55" s="28" t="n"/>
      <c r="D55" s="28" t="n"/>
      <c r="E55" s="29" t="n"/>
      <c r="F55" s="29" t="n"/>
      <c r="G55" s="29">
        <f>IF(AND(ISNUMBER(E55),ISNUMBER(F55)),F55-E55,"")</f>
        <v/>
      </c>
      <c r="H55" s="30" t="n">
        <v>1</v>
      </c>
      <c r="I55" s="31">
        <f>IF(AND(ISNUMBER(G55),ISNUMBER(H55)),G55*H55,"")</f>
        <v/>
      </c>
      <c r="J55" s="32">
        <f>IF(ISNUMBER(I55),I55*MileRate,"")</f>
        <v/>
      </c>
      <c r="K55" s="28" t="n"/>
    </row>
    <row r="56" ht="20" customHeight="1">
      <c r="A56" s="27" t="n"/>
      <c r="B56" s="28" t="n"/>
      <c r="C56" s="28" t="n"/>
      <c r="D56" s="28" t="n"/>
      <c r="E56" s="29" t="n"/>
      <c r="F56" s="29" t="n"/>
      <c r="G56" s="29">
        <f>IF(AND(ISNUMBER(E56),ISNUMBER(F56)),F56-E56,"")</f>
        <v/>
      </c>
      <c r="H56" s="30" t="n">
        <v>1</v>
      </c>
      <c r="I56" s="31">
        <f>IF(AND(ISNUMBER(G56),ISNUMBER(H56)),G56*H56,"")</f>
        <v/>
      </c>
      <c r="J56" s="32">
        <f>IF(ISNUMBER(I56),I56*MileRate,"")</f>
        <v/>
      </c>
      <c r="K56" s="28" t="n"/>
    </row>
    <row r="57" ht="20" customHeight="1">
      <c r="A57" s="27" t="n"/>
      <c r="B57" s="28" t="n"/>
      <c r="C57" s="28" t="n"/>
      <c r="D57" s="28" t="n"/>
      <c r="E57" s="29" t="n"/>
      <c r="F57" s="29" t="n"/>
      <c r="G57" s="29">
        <f>IF(AND(ISNUMBER(E57),ISNUMBER(F57)),F57-E57,"")</f>
        <v/>
      </c>
      <c r="H57" s="30" t="n">
        <v>1</v>
      </c>
      <c r="I57" s="31">
        <f>IF(AND(ISNUMBER(G57),ISNUMBER(H57)),G57*H57,"")</f>
        <v/>
      </c>
      <c r="J57" s="32">
        <f>IF(ISNUMBER(I57),I57*MileRate,"")</f>
        <v/>
      </c>
      <c r="K57" s="28" t="n"/>
    </row>
    <row r="58" ht="20" customHeight="1">
      <c r="A58" s="27" t="n"/>
      <c r="B58" s="28" t="n"/>
      <c r="C58" s="28" t="n"/>
      <c r="D58" s="28" t="n"/>
      <c r="E58" s="29" t="n"/>
      <c r="F58" s="29" t="n"/>
      <c r="G58" s="29">
        <f>IF(AND(ISNUMBER(E58),ISNUMBER(F58)),F58-E58,"")</f>
        <v/>
      </c>
      <c r="H58" s="30" t="n">
        <v>1</v>
      </c>
      <c r="I58" s="31">
        <f>IF(AND(ISNUMBER(G58),ISNUMBER(H58)),G58*H58,"")</f>
        <v/>
      </c>
      <c r="J58" s="32">
        <f>IF(ISNUMBER(I58),I58*MileRate,"")</f>
        <v/>
      </c>
      <c r="K58" s="28" t="n"/>
    </row>
    <row r="59" ht="20" customHeight="1">
      <c r="A59" s="27" t="n"/>
      <c r="B59" s="28" t="n"/>
      <c r="C59" s="28" t="n"/>
      <c r="D59" s="28" t="n"/>
      <c r="E59" s="29" t="n"/>
      <c r="F59" s="29" t="n"/>
      <c r="G59" s="29">
        <f>IF(AND(ISNUMBER(E59),ISNUMBER(F59)),F59-E59,"")</f>
        <v/>
      </c>
      <c r="H59" s="30" t="n">
        <v>1</v>
      </c>
      <c r="I59" s="31">
        <f>IF(AND(ISNUMBER(G59),ISNUMBER(H59)),G59*H59,"")</f>
        <v/>
      </c>
      <c r="J59" s="32">
        <f>IF(ISNUMBER(I59),I59*MileRate,"")</f>
        <v/>
      </c>
      <c r="K59" s="28" t="n"/>
    </row>
    <row r="60" ht="20" customHeight="1">
      <c r="A60" s="27" t="n"/>
      <c r="B60" s="28" t="n"/>
      <c r="C60" s="28" t="n"/>
      <c r="D60" s="28" t="n"/>
      <c r="E60" s="29" t="n"/>
      <c r="F60" s="29" t="n"/>
      <c r="G60" s="29">
        <f>IF(AND(ISNUMBER(E60),ISNUMBER(F60)),F60-E60,"")</f>
        <v/>
      </c>
      <c r="H60" s="30" t="n">
        <v>1</v>
      </c>
      <c r="I60" s="31">
        <f>IF(AND(ISNUMBER(G60),ISNUMBER(H60)),G60*H60,"")</f>
        <v/>
      </c>
      <c r="J60" s="32">
        <f>IF(ISNUMBER(I60),I60*MileRate,"")</f>
        <v/>
      </c>
      <c r="K60" s="28" t="n"/>
    </row>
    <row r="61" ht="20" customHeight="1">
      <c r="A61" s="27" t="n"/>
      <c r="B61" s="28" t="n"/>
      <c r="C61" s="28" t="n"/>
      <c r="D61" s="28" t="n"/>
      <c r="E61" s="29" t="n"/>
      <c r="F61" s="29" t="n"/>
      <c r="G61" s="29">
        <f>IF(AND(ISNUMBER(E61),ISNUMBER(F61)),F61-E61,"")</f>
        <v/>
      </c>
      <c r="H61" s="30" t="n">
        <v>1</v>
      </c>
      <c r="I61" s="31">
        <f>IF(AND(ISNUMBER(G61),ISNUMBER(H61)),G61*H61,"")</f>
        <v/>
      </c>
      <c r="J61" s="32">
        <f>IF(ISNUMBER(I61),I61*MileRate,"")</f>
        <v/>
      </c>
      <c r="K61" s="28" t="n"/>
    </row>
    <row r="62" ht="20" customHeight="1">
      <c r="A62" s="27" t="n"/>
      <c r="B62" s="28" t="n"/>
      <c r="C62" s="28" t="n"/>
      <c r="D62" s="28" t="n"/>
      <c r="E62" s="29" t="n"/>
      <c r="F62" s="29" t="n"/>
      <c r="G62" s="29">
        <f>IF(AND(ISNUMBER(E62),ISNUMBER(F62)),F62-E62,"")</f>
        <v/>
      </c>
      <c r="H62" s="30" t="n">
        <v>1</v>
      </c>
      <c r="I62" s="31">
        <f>IF(AND(ISNUMBER(G62),ISNUMBER(H62)),G62*H62,"")</f>
        <v/>
      </c>
      <c r="J62" s="32">
        <f>IF(ISNUMBER(I62),I62*MileRate,"")</f>
        <v/>
      </c>
      <c r="K62" s="28" t="n"/>
    </row>
    <row r="63" ht="20" customHeight="1">
      <c r="A63" s="27" t="n"/>
      <c r="B63" s="28" t="n"/>
      <c r="C63" s="28" t="n"/>
      <c r="D63" s="28" t="n"/>
      <c r="E63" s="29" t="n"/>
      <c r="F63" s="29" t="n"/>
      <c r="G63" s="29">
        <f>IF(AND(ISNUMBER(E63),ISNUMBER(F63)),F63-E63,"")</f>
        <v/>
      </c>
      <c r="H63" s="30" t="n">
        <v>1</v>
      </c>
      <c r="I63" s="31">
        <f>IF(AND(ISNUMBER(G63),ISNUMBER(H63)),G63*H63,"")</f>
        <v/>
      </c>
      <c r="J63" s="32">
        <f>IF(ISNUMBER(I63),I63*MileRate,"")</f>
        <v/>
      </c>
      <c r="K63" s="28" t="n"/>
    </row>
    <row r="64" ht="20" customHeight="1">
      <c r="A64" s="27" t="n"/>
      <c r="B64" s="28" t="n"/>
      <c r="C64" s="28" t="n"/>
      <c r="D64" s="28" t="n"/>
      <c r="E64" s="29" t="n"/>
      <c r="F64" s="29" t="n"/>
      <c r="G64" s="29">
        <f>IF(AND(ISNUMBER(E64),ISNUMBER(F64)),F64-E64,"")</f>
        <v/>
      </c>
      <c r="H64" s="30" t="n">
        <v>1</v>
      </c>
      <c r="I64" s="31">
        <f>IF(AND(ISNUMBER(G64),ISNUMBER(H64)),G64*H64,"")</f>
        <v/>
      </c>
      <c r="J64" s="32">
        <f>IF(ISNUMBER(I64),I64*MileRate,"")</f>
        <v/>
      </c>
      <c r="K64" s="28" t="n"/>
    </row>
    <row r="65" ht="20" customHeight="1">
      <c r="A65" s="27" t="n"/>
      <c r="B65" s="28" t="n"/>
      <c r="C65" s="28" t="n"/>
      <c r="D65" s="28" t="n"/>
      <c r="E65" s="29" t="n"/>
      <c r="F65" s="29" t="n"/>
      <c r="G65" s="29">
        <f>IF(AND(ISNUMBER(E65),ISNUMBER(F65)),F65-E65,"")</f>
        <v/>
      </c>
      <c r="H65" s="30" t="n">
        <v>1</v>
      </c>
      <c r="I65" s="31">
        <f>IF(AND(ISNUMBER(G65),ISNUMBER(H65)),G65*H65,"")</f>
        <v/>
      </c>
      <c r="J65" s="32">
        <f>IF(ISNUMBER(I65),I65*MileRate,"")</f>
        <v/>
      </c>
      <c r="K65" s="28" t="n"/>
    </row>
    <row r="66" ht="20" customHeight="1">
      <c r="A66" s="27" t="n"/>
      <c r="B66" s="28" t="n"/>
      <c r="C66" s="28" t="n"/>
      <c r="D66" s="28" t="n"/>
      <c r="E66" s="29" t="n"/>
      <c r="F66" s="29" t="n"/>
      <c r="G66" s="29">
        <f>IF(AND(ISNUMBER(E66),ISNUMBER(F66)),F66-E66,"")</f>
        <v/>
      </c>
      <c r="H66" s="30" t="n">
        <v>1</v>
      </c>
      <c r="I66" s="31">
        <f>IF(AND(ISNUMBER(G66),ISNUMBER(H66)),G66*H66,"")</f>
        <v/>
      </c>
      <c r="J66" s="32">
        <f>IF(ISNUMBER(I66),I66*MileRate,"")</f>
        <v/>
      </c>
      <c r="K66" s="28" t="n"/>
    </row>
    <row r="67" ht="20" customHeight="1">
      <c r="A67" s="27" t="n"/>
      <c r="B67" s="28" t="n"/>
      <c r="C67" s="28" t="n"/>
      <c r="D67" s="28" t="n"/>
      <c r="E67" s="29" t="n"/>
      <c r="F67" s="29" t="n"/>
      <c r="G67" s="29">
        <f>IF(AND(ISNUMBER(E67),ISNUMBER(F67)),F67-E67,"")</f>
        <v/>
      </c>
      <c r="H67" s="30" t="n">
        <v>1</v>
      </c>
      <c r="I67" s="31">
        <f>IF(AND(ISNUMBER(G67),ISNUMBER(H67)),G67*H67,"")</f>
        <v/>
      </c>
      <c r="J67" s="32">
        <f>IF(ISNUMBER(I67),I67*MileRate,"")</f>
        <v/>
      </c>
      <c r="K67" s="28" t="n"/>
    </row>
    <row r="68" ht="20" customHeight="1">
      <c r="A68" s="27" t="n"/>
      <c r="B68" s="28" t="n"/>
      <c r="C68" s="28" t="n"/>
      <c r="D68" s="28" t="n"/>
      <c r="E68" s="29" t="n"/>
      <c r="F68" s="29" t="n"/>
      <c r="G68" s="29">
        <f>IF(AND(ISNUMBER(E68),ISNUMBER(F68)),F68-E68,"")</f>
        <v/>
      </c>
      <c r="H68" s="30" t="n">
        <v>1</v>
      </c>
      <c r="I68" s="31">
        <f>IF(AND(ISNUMBER(G68),ISNUMBER(H68)),G68*H68,"")</f>
        <v/>
      </c>
      <c r="J68" s="32">
        <f>IF(ISNUMBER(I68),I68*MileRate,"")</f>
        <v/>
      </c>
      <c r="K68" s="28" t="n"/>
    </row>
    <row r="69" ht="20" customHeight="1">
      <c r="A69" s="27" t="n"/>
      <c r="B69" s="28" t="n"/>
      <c r="C69" s="28" t="n"/>
      <c r="D69" s="28" t="n"/>
      <c r="E69" s="29" t="n"/>
      <c r="F69" s="29" t="n"/>
      <c r="G69" s="29">
        <f>IF(AND(ISNUMBER(E69),ISNUMBER(F69)),F69-E69,"")</f>
        <v/>
      </c>
      <c r="H69" s="30" t="n">
        <v>1</v>
      </c>
      <c r="I69" s="31">
        <f>IF(AND(ISNUMBER(G69),ISNUMBER(H69)),G69*H69,"")</f>
        <v/>
      </c>
      <c r="J69" s="32">
        <f>IF(ISNUMBER(I69),I69*MileRate,"")</f>
        <v/>
      </c>
      <c r="K69" s="28" t="n"/>
    </row>
    <row r="70" ht="20" customHeight="1">
      <c r="A70" s="27" t="n"/>
      <c r="B70" s="28" t="n"/>
      <c r="C70" s="28" t="n"/>
      <c r="D70" s="28" t="n"/>
      <c r="E70" s="29" t="n"/>
      <c r="F70" s="29" t="n"/>
      <c r="G70" s="29">
        <f>IF(AND(ISNUMBER(E70),ISNUMBER(F70)),F70-E70,"")</f>
        <v/>
      </c>
      <c r="H70" s="30" t="n">
        <v>1</v>
      </c>
      <c r="I70" s="31">
        <f>IF(AND(ISNUMBER(G70),ISNUMBER(H70)),G70*H70,"")</f>
        <v/>
      </c>
      <c r="J70" s="32">
        <f>IF(ISNUMBER(I70),I70*MileRate,"")</f>
        <v/>
      </c>
      <c r="K70" s="28" t="n"/>
    </row>
    <row r="71" ht="20" customHeight="1">
      <c r="A71" s="27" t="n"/>
      <c r="B71" s="28" t="n"/>
      <c r="C71" s="28" t="n"/>
      <c r="D71" s="28" t="n"/>
      <c r="E71" s="29" t="n"/>
      <c r="F71" s="29" t="n"/>
      <c r="G71" s="29">
        <f>IF(AND(ISNUMBER(E71),ISNUMBER(F71)),F71-E71,"")</f>
        <v/>
      </c>
      <c r="H71" s="30" t="n">
        <v>1</v>
      </c>
      <c r="I71" s="31">
        <f>IF(AND(ISNUMBER(G71),ISNUMBER(H71)),G71*H71,"")</f>
        <v/>
      </c>
      <c r="J71" s="32">
        <f>IF(ISNUMBER(I71),I71*MileRate,"")</f>
        <v/>
      </c>
      <c r="K71" s="28" t="n"/>
    </row>
    <row r="72" ht="20" customHeight="1">
      <c r="A72" s="27" t="n"/>
      <c r="B72" s="28" t="n"/>
      <c r="C72" s="28" t="n"/>
      <c r="D72" s="28" t="n"/>
      <c r="E72" s="29" t="n"/>
      <c r="F72" s="29" t="n"/>
      <c r="G72" s="29">
        <f>IF(AND(ISNUMBER(E72),ISNUMBER(F72)),F72-E72,"")</f>
        <v/>
      </c>
      <c r="H72" s="30" t="n">
        <v>1</v>
      </c>
      <c r="I72" s="31">
        <f>IF(AND(ISNUMBER(G72),ISNUMBER(H72)),G72*H72,"")</f>
        <v/>
      </c>
      <c r="J72" s="32">
        <f>IF(ISNUMBER(I72),I72*MileRate,"")</f>
        <v/>
      </c>
      <c r="K72" s="28" t="n"/>
    </row>
    <row r="73" ht="20" customHeight="1">
      <c r="A73" s="27" t="n"/>
      <c r="B73" s="28" t="n"/>
      <c r="C73" s="28" t="n"/>
      <c r="D73" s="28" t="n"/>
      <c r="E73" s="29" t="n"/>
      <c r="F73" s="29" t="n"/>
      <c r="G73" s="29">
        <f>IF(AND(ISNUMBER(E73),ISNUMBER(F73)),F73-E73,"")</f>
        <v/>
      </c>
      <c r="H73" s="30" t="n">
        <v>1</v>
      </c>
      <c r="I73" s="31">
        <f>IF(AND(ISNUMBER(G73),ISNUMBER(H73)),G73*H73,"")</f>
        <v/>
      </c>
      <c r="J73" s="32">
        <f>IF(ISNUMBER(I73),I73*MileRate,"")</f>
        <v/>
      </c>
      <c r="K73" s="28" t="n"/>
    </row>
    <row r="74" ht="20" customHeight="1">
      <c r="A74" s="27" t="n"/>
      <c r="B74" s="28" t="n"/>
      <c r="C74" s="28" t="n"/>
      <c r="D74" s="28" t="n"/>
      <c r="E74" s="29" t="n"/>
      <c r="F74" s="29" t="n"/>
      <c r="G74" s="29">
        <f>IF(AND(ISNUMBER(E74),ISNUMBER(F74)),F74-E74,"")</f>
        <v/>
      </c>
      <c r="H74" s="30" t="n">
        <v>1</v>
      </c>
      <c r="I74" s="31">
        <f>IF(AND(ISNUMBER(G74),ISNUMBER(H74)),G74*H74,"")</f>
        <v/>
      </c>
      <c r="J74" s="32">
        <f>IF(ISNUMBER(I74),I74*MileRate,"")</f>
        <v/>
      </c>
      <c r="K74" s="28" t="n"/>
    </row>
    <row r="75" ht="20" customHeight="1">
      <c r="A75" s="27" t="n"/>
      <c r="B75" s="28" t="n"/>
      <c r="C75" s="28" t="n"/>
      <c r="D75" s="28" t="n"/>
      <c r="E75" s="29" t="n"/>
      <c r="F75" s="29" t="n"/>
      <c r="G75" s="29">
        <f>IF(AND(ISNUMBER(E75),ISNUMBER(F75)),F75-E75,"")</f>
        <v/>
      </c>
      <c r="H75" s="30" t="n">
        <v>1</v>
      </c>
      <c r="I75" s="31">
        <f>IF(AND(ISNUMBER(G75),ISNUMBER(H75)),G75*H75,"")</f>
        <v/>
      </c>
      <c r="J75" s="32">
        <f>IF(ISNUMBER(I75),I75*MileRate,"")</f>
        <v/>
      </c>
      <c r="K75" s="28" t="n"/>
    </row>
    <row r="76" ht="20" customHeight="1">
      <c r="A76" s="27" t="n"/>
      <c r="B76" s="28" t="n"/>
      <c r="C76" s="28" t="n"/>
      <c r="D76" s="28" t="n"/>
      <c r="E76" s="29" t="n"/>
      <c r="F76" s="29" t="n"/>
      <c r="G76" s="29">
        <f>IF(AND(ISNUMBER(E76),ISNUMBER(F76)),F76-E76,"")</f>
        <v/>
      </c>
      <c r="H76" s="30" t="n">
        <v>1</v>
      </c>
      <c r="I76" s="31">
        <f>IF(AND(ISNUMBER(G76),ISNUMBER(H76)),G76*H76,"")</f>
        <v/>
      </c>
      <c r="J76" s="32">
        <f>IF(ISNUMBER(I76),I76*MileRate,"")</f>
        <v/>
      </c>
      <c r="K76" s="28" t="n"/>
    </row>
    <row r="77" ht="20" customHeight="1">
      <c r="A77" s="27" t="n"/>
      <c r="B77" s="28" t="n"/>
      <c r="C77" s="28" t="n"/>
      <c r="D77" s="28" t="n"/>
      <c r="E77" s="29" t="n"/>
      <c r="F77" s="29" t="n"/>
      <c r="G77" s="29">
        <f>IF(AND(ISNUMBER(E77),ISNUMBER(F77)),F77-E77,"")</f>
        <v/>
      </c>
      <c r="H77" s="30" t="n">
        <v>1</v>
      </c>
      <c r="I77" s="31">
        <f>IF(AND(ISNUMBER(G77),ISNUMBER(H77)),G77*H77,"")</f>
        <v/>
      </c>
      <c r="J77" s="32">
        <f>IF(ISNUMBER(I77),I77*MileRate,"")</f>
        <v/>
      </c>
      <c r="K77" s="28" t="n"/>
    </row>
    <row r="78" ht="20" customHeight="1">
      <c r="A78" s="27" t="n"/>
      <c r="B78" s="28" t="n"/>
      <c r="C78" s="28" t="n"/>
      <c r="D78" s="28" t="n"/>
      <c r="E78" s="29" t="n"/>
      <c r="F78" s="29" t="n"/>
      <c r="G78" s="29">
        <f>IF(AND(ISNUMBER(E78),ISNUMBER(F78)),F78-E78,"")</f>
        <v/>
      </c>
      <c r="H78" s="30" t="n">
        <v>1</v>
      </c>
      <c r="I78" s="31">
        <f>IF(AND(ISNUMBER(G78),ISNUMBER(H78)),G78*H78,"")</f>
        <v/>
      </c>
      <c r="J78" s="32">
        <f>IF(ISNUMBER(I78),I78*MileRate,"")</f>
        <v/>
      </c>
      <c r="K78" s="28" t="n"/>
    </row>
    <row r="79" ht="20" customHeight="1">
      <c r="A79" s="27" t="n"/>
      <c r="B79" s="28" t="n"/>
      <c r="C79" s="28" t="n"/>
      <c r="D79" s="28" t="n"/>
      <c r="E79" s="29" t="n"/>
      <c r="F79" s="29" t="n"/>
      <c r="G79" s="29">
        <f>IF(AND(ISNUMBER(E79),ISNUMBER(F79)),F79-E79,"")</f>
        <v/>
      </c>
      <c r="H79" s="30" t="n">
        <v>1</v>
      </c>
      <c r="I79" s="31">
        <f>IF(AND(ISNUMBER(G79),ISNUMBER(H79)),G79*H79,"")</f>
        <v/>
      </c>
      <c r="J79" s="32">
        <f>IF(ISNUMBER(I79),I79*MileRate,"")</f>
        <v/>
      </c>
      <c r="K79" s="28" t="n"/>
    </row>
    <row r="80" ht="20" customHeight="1">
      <c r="A80" s="27" t="n"/>
      <c r="B80" s="28" t="n"/>
      <c r="C80" s="28" t="n"/>
      <c r="D80" s="28" t="n"/>
      <c r="E80" s="29" t="n"/>
      <c r="F80" s="29" t="n"/>
      <c r="G80" s="29">
        <f>IF(AND(ISNUMBER(E80),ISNUMBER(F80)),F80-E80,"")</f>
        <v/>
      </c>
      <c r="H80" s="30" t="n">
        <v>1</v>
      </c>
      <c r="I80" s="31">
        <f>IF(AND(ISNUMBER(G80),ISNUMBER(H80)),G80*H80,"")</f>
        <v/>
      </c>
      <c r="J80" s="32">
        <f>IF(ISNUMBER(I80),I80*MileRate,"")</f>
        <v/>
      </c>
      <c r="K80" s="28" t="n"/>
    </row>
    <row r="81" ht="20" customHeight="1">
      <c r="A81" s="27" t="n"/>
      <c r="B81" s="28" t="n"/>
      <c r="C81" s="28" t="n"/>
      <c r="D81" s="28" t="n"/>
      <c r="E81" s="29" t="n"/>
      <c r="F81" s="29" t="n"/>
      <c r="G81" s="29">
        <f>IF(AND(ISNUMBER(E81),ISNUMBER(F81)),F81-E81,"")</f>
        <v/>
      </c>
      <c r="H81" s="30" t="n">
        <v>1</v>
      </c>
      <c r="I81" s="31">
        <f>IF(AND(ISNUMBER(G81),ISNUMBER(H81)),G81*H81,"")</f>
        <v/>
      </c>
      <c r="J81" s="32">
        <f>IF(ISNUMBER(I81),I81*MileRate,"")</f>
        <v/>
      </c>
      <c r="K81" s="28" t="n"/>
    </row>
    <row r="82" ht="20" customHeight="1">
      <c r="A82" s="27" t="n"/>
      <c r="B82" s="28" t="n"/>
      <c r="C82" s="28" t="n"/>
      <c r="D82" s="28" t="n"/>
      <c r="E82" s="29" t="n"/>
      <c r="F82" s="29" t="n"/>
      <c r="G82" s="29">
        <f>IF(AND(ISNUMBER(E82),ISNUMBER(F82)),F82-E82,"")</f>
        <v/>
      </c>
      <c r="H82" s="30" t="n">
        <v>1</v>
      </c>
      <c r="I82" s="31">
        <f>IF(AND(ISNUMBER(G82),ISNUMBER(H82)),G82*H82,"")</f>
        <v/>
      </c>
      <c r="J82" s="32">
        <f>IF(ISNUMBER(I82),I82*MileRate,"")</f>
        <v/>
      </c>
      <c r="K82" s="28" t="n"/>
    </row>
    <row r="83" ht="20" customHeight="1">
      <c r="A83" s="27" t="n"/>
      <c r="B83" s="28" t="n"/>
      <c r="C83" s="28" t="n"/>
      <c r="D83" s="28" t="n"/>
      <c r="E83" s="29" t="n"/>
      <c r="F83" s="29" t="n"/>
      <c r="G83" s="29">
        <f>IF(AND(ISNUMBER(E83),ISNUMBER(F83)),F83-E83,"")</f>
        <v/>
      </c>
      <c r="H83" s="30" t="n">
        <v>1</v>
      </c>
      <c r="I83" s="31">
        <f>IF(AND(ISNUMBER(G83),ISNUMBER(H83)),G83*H83,"")</f>
        <v/>
      </c>
      <c r="J83" s="32">
        <f>IF(ISNUMBER(I83),I83*MileRate,"")</f>
        <v/>
      </c>
      <c r="K83" s="28" t="n"/>
    </row>
    <row r="84" ht="20" customHeight="1">
      <c r="A84" s="27" t="n"/>
      <c r="B84" s="28" t="n"/>
      <c r="C84" s="28" t="n"/>
      <c r="D84" s="28" t="n"/>
      <c r="E84" s="29" t="n"/>
      <c r="F84" s="29" t="n"/>
      <c r="G84" s="29">
        <f>IF(AND(ISNUMBER(E84),ISNUMBER(F84)),F84-E84,"")</f>
        <v/>
      </c>
      <c r="H84" s="30" t="n">
        <v>1</v>
      </c>
      <c r="I84" s="31">
        <f>IF(AND(ISNUMBER(G84),ISNUMBER(H84)),G84*H84,"")</f>
        <v/>
      </c>
      <c r="J84" s="32">
        <f>IF(ISNUMBER(I84),I84*MileRate,"")</f>
        <v/>
      </c>
      <c r="K84" s="28" t="n"/>
    </row>
    <row r="85" ht="20" customHeight="1">
      <c r="A85" s="27" t="n"/>
      <c r="B85" s="28" t="n"/>
      <c r="C85" s="28" t="n"/>
      <c r="D85" s="28" t="n"/>
      <c r="E85" s="29" t="n"/>
      <c r="F85" s="29" t="n"/>
      <c r="G85" s="29">
        <f>IF(AND(ISNUMBER(E85),ISNUMBER(F85)),F85-E85,"")</f>
        <v/>
      </c>
      <c r="H85" s="30" t="n">
        <v>1</v>
      </c>
      <c r="I85" s="31">
        <f>IF(AND(ISNUMBER(G85),ISNUMBER(H85)),G85*H85,"")</f>
        <v/>
      </c>
      <c r="J85" s="32">
        <f>IF(ISNUMBER(I85),I85*MileRate,"")</f>
        <v/>
      </c>
      <c r="K85" s="28" t="n"/>
    </row>
    <row r="86" ht="20" customHeight="1">
      <c r="A86" s="27" t="n"/>
      <c r="B86" s="28" t="n"/>
      <c r="C86" s="28" t="n"/>
      <c r="D86" s="28" t="n"/>
      <c r="E86" s="29" t="n"/>
      <c r="F86" s="29" t="n"/>
      <c r="G86" s="29">
        <f>IF(AND(ISNUMBER(E86),ISNUMBER(F86)),F86-E86,"")</f>
        <v/>
      </c>
      <c r="H86" s="30" t="n">
        <v>1</v>
      </c>
      <c r="I86" s="31">
        <f>IF(AND(ISNUMBER(G86),ISNUMBER(H86)),G86*H86,"")</f>
        <v/>
      </c>
      <c r="J86" s="32">
        <f>IF(ISNUMBER(I86),I86*MileRate,"")</f>
        <v/>
      </c>
      <c r="K86" s="28" t="n"/>
    </row>
    <row r="87" ht="20" customHeight="1">
      <c r="A87" s="27" t="n"/>
      <c r="B87" s="28" t="n"/>
      <c r="C87" s="28" t="n"/>
      <c r="D87" s="28" t="n"/>
      <c r="E87" s="29" t="n"/>
      <c r="F87" s="29" t="n"/>
      <c r="G87" s="29">
        <f>IF(AND(ISNUMBER(E87),ISNUMBER(F87)),F87-E87,"")</f>
        <v/>
      </c>
      <c r="H87" s="30" t="n">
        <v>1</v>
      </c>
      <c r="I87" s="31">
        <f>IF(AND(ISNUMBER(G87),ISNUMBER(H87)),G87*H87,"")</f>
        <v/>
      </c>
      <c r="J87" s="32">
        <f>IF(ISNUMBER(I87),I87*MileRate,"")</f>
        <v/>
      </c>
      <c r="K87" s="28" t="n"/>
    </row>
    <row r="88" ht="20" customHeight="1">
      <c r="A88" s="27" t="n"/>
      <c r="B88" s="28" t="n"/>
      <c r="C88" s="28" t="n"/>
      <c r="D88" s="28" t="n"/>
      <c r="E88" s="29" t="n"/>
      <c r="F88" s="29" t="n"/>
      <c r="G88" s="29">
        <f>IF(AND(ISNUMBER(E88),ISNUMBER(F88)),F88-E88,"")</f>
        <v/>
      </c>
      <c r="H88" s="30" t="n">
        <v>1</v>
      </c>
      <c r="I88" s="31">
        <f>IF(AND(ISNUMBER(G88),ISNUMBER(H88)),G88*H88,"")</f>
        <v/>
      </c>
      <c r="J88" s="32">
        <f>IF(ISNUMBER(I88),I88*MileRate,"")</f>
        <v/>
      </c>
      <c r="K88" s="28" t="n"/>
    </row>
    <row r="89" ht="20" customHeight="1">
      <c r="A89" s="27" t="n"/>
      <c r="B89" s="28" t="n"/>
      <c r="C89" s="28" t="n"/>
      <c r="D89" s="28" t="n"/>
      <c r="E89" s="29" t="n"/>
      <c r="F89" s="29" t="n"/>
      <c r="G89" s="29">
        <f>IF(AND(ISNUMBER(E89),ISNUMBER(F89)),F89-E89,"")</f>
        <v/>
      </c>
      <c r="H89" s="30" t="n">
        <v>1</v>
      </c>
      <c r="I89" s="31">
        <f>IF(AND(ISNUMBER(G89),ISNUMBER(H89)),G89*H89,"")</f>
        <v/>
      </c>
      <c r="J89" s="32">
        <f>IF(ISNUMBER(I89),I89*MileRate,"")</f>
        <v/>
      </c>
      <c r="K89" s="28" t="n"/>
    </row>
    <row r="90" ht="20" customHeight="1">
      <c r="A90" s="27" t="n"/>
      <c r="B90" s="28" t="n"/>
      <c r="C90" s="28" t="n"/>
      <c r="D90" s="28" t="n"/>
      <c r="E90" s="29" t="n"/>
      <c r="F90" s="29" t="n"/>
      <c r="G90" s="29">
        <f>IF(AND(ISNUMBER(E90),ISNUMBER(F90)),F90-E90,"")</f>
        <v/>
      </c>
      <c r="H90" s="30" t="n">
        <v>1</v>
      </c>
      <c r="I90" s="31">
        <f>IF(AND(ISNUMBER(G90),ISNUMBER(H90)),G90*H90,"")</f>
        <v/>
      </c>
      <c r="J90" s="32">
        <f>IF(ISNUMBER(I90),I90*MileRate,"")</f>
        <v/>
      </c>
      <c r="K90" s="28" t="n"/>
    </row>
    <row r="91" ht="20" customHeight="1">
      <c r="A91" s="27" t="n"/>
      <c r="B91" s="28" t="n"/>
      <c r="C91" s="28" t="n"/>
      <c r="D91" s="28" t="n"/>
      <c r="E91" s="29" t="n"/>
      <c r="F91" s="29" t="n"/>
      <c r="G91" s="29">
        <f>IF(AND(ISNUMBER(E91),ISNUMBER(F91)),F91-E91,"")</f>
        <v/>
      </c>
      <c r="H91" s="30" t="n">
        <v>1</v>
      </c>
      <c r="I91" s="31">
        <f>IF(AND(ISNUMBER(G91),ISNUMBER(H91)),G91*H91,"")</f>
        <v/>
      </c>
      <c r="J91" s="32">
        <f>IF(ISNUMBER(I91),I91*MileRate,"")</f>
        <v/>
      </c>
      <c r="K91" s="28" t="n"/>
    </row>
    <row r="92" ht="20" customHeight="1">
      <c r="A92" s="27" t="n"/>
      <c r="B92" s="28" t="n"/>
      <c r="C92" s="28" t="n"/>
      <c r="D92" s="28" t="n"/>
      <c r="E92" s="29" t="n"/>
      <c r="F92" s="29" t="n"/>
      <c r="G92" s="29">
        <f>IF(AND(ISNUMBER(E92),ISNUMBER(F92)),F92-E92,"")</f>
        <v/>
      </c>
      <c r="H92" s="30" t="n">
        <v>1</v>
      </c>
      <c r="I92" s="31">
        <f>IF(AND(ISNUMBER(G92),ISNUMBER(H92)),G92*H92,"")</f>
        <v/>
      </c>
      <c r="J92" s="32">
        <f>IF(ISNUMBER(I92),I92*MileRate,"")</f>
        <v/>
      </c>
      <c r="K92" s="28" t="n"/>
    </row>
    <row r="93" ht="20" customHeight="1">
      <c r="A93" s="27" t="n"/>
      <c r="B93" s="28" t="n"/>
      <c r="C93" s="28" t="n"/>
      <c r="D93" s="28" t="n"/>
      <c r="E93" s="29" t="n"/>
      <c r="F93" s="29" t="n"/>
      <c r="G93" s="29">
        <f>IF(AND(ISNUMBER(E93),ISNUMBER(F93)),F93-E93,"")</f>
        <v/>
      </c>
      <c r="H93" s="30" t="n">
        <v>1</v>
      </c>
      <c r="I93" s="31">
        <f>IF(AND(ISNUMBER(G93),ISNUMBER(H93)),G93*H93,"")</f>
        <v/>
      </c>
      <c r="J93" s="32">
        <f>IF(ISNUMBER(I93),I93*MileRate,"")</f>
        <v/>
      </c>
      <c r="K93" s="28" t="n"/>
    </row>
    <row r="94" ht="20" customHeight="1">
      <c r="A94" s="27" t="n"/>
      <c r="B94" s="28" t="n"/>
      <c r="C94" s="28" t="n"/>
      <c r="D94" s="28" t="n"/>
      <c r="E94" s="29" t="n"/>
      <c r="F94" s="29" t="n"/>
      <c r="G94" s="29">
        <f>IF(AND(ISNUMBER(E94),ISNUMBER(F94)),F94-E94,"")</f>
        <v/>
      </c>
      <c r="H94" s="30" t="n">
        <v>1</v>
      </c>
      <c r="I94" s="31">
        <f>IF(AND(ISNUMBER(G94),ISNUMBER(H94)),G94*H94,"")</f>
        <v/>
      </c>
      <c r="J94" s="32">
        <f>IF(ISNUMBER(I94),I94*MileRate,"")</f>
        <v/>
      </c>
      <c r="K94" s="28" t="n"/>
    </row>
    <row r="95" ht="20" customHeight="1">
      <c r="A95" s="27" t="n"/>
      <c r="B95" s="28" t="n"/>
      <c r="C95" s="28" t="n"/>
      <c r="D95" s="28" t="n"/>
      <c r="E95" s="29" t="n"/>
      <c r="F95" s="29" t="n"/>
      <c r="G95" s="29">
        <f>IF(AND(ISNUMBER(E95),ISNUMBER(F95)),F95-E95,"")</f>
        <v/>
      </c>
      <c r="H95" s="30" t="n">
        <v>1</v>
      </c>
      <c r="I95" s="31">
        <f>IF(AND(ISNUMBER(G95),ISNUMBER(H95)),G95*H95,"")</f>
        <v/>
      </c>
      <c r="J95" s="32">
        <f>IF(ISNUMBER(I95),I95*MileRate,"")</f>
        <v/>
      </c>
      <c r="K95" s="28" t="n"/>
    </row>
    <row r="96" ht="20" customHeight="1">
      <c r="A96" s="27" t="n"/>
      <c r="B96" s="28" t="n"/>
      <c r="C96" s="28" t="n"/>
      <c r="D96" s="28" t="n"/>
      <c r="E96" s="29" t="n"/>
      <c r="F96" s="29" t="n"/>
      <c r="G96" s="29">
        <f>IF(AND(ISNUMBER(E96),ISNUMBER(F96)),F96-E96,"")</f>
        <v/>
      </c>
      <c r="H96" s="30" t="n">
        <v>1</v>
      </c>
      <c r="I96" s="31">
        <f>IF(AND(ISNUMBER(G96),ISNUMBER(H96)),G96*H96,"")</f>
        <v/>
      </c>
      <c r="J96" s="32">
        <f>IF(ISNUMBER(I96),I96*MileRate,"")</f>
        <v/>
      </c>
      <c r="K96" s="28" t="n"/>
    </row>
    <row r="97" ht="20" customHeight="1">
      <c r="A97" s="27" t="n"/>
      <c r="B97" s="28" t="n"/>
      <c r="C97" s="28" t="n"/>
      <c r="D97" s="28" t="n"/>
      <c r="E97" s="29" t="n"/>
      <c r="F97" s="29" t="n"/>
      <c r="G97" s="29">
        <f>IF(AND(ISNUMBER(E97),ISNUMBER(F97)),F97-E97,"")</f>
        <v/>
      </c>
      <c r="H97" s="30" t="n">
        <v>1</v>
      </c>
      <c r="I97" s="31">
        <f>IF(AND(ISNUMBER(G97),ISNUMBER(H97)),G97*H97,"")</f>
        <v/>
      </c>
      <c r="J97" s="32">
        <f>IF(ISNUMBER(I97),I97*MileRate,"")</f>
        <v/>
      </c>
      <c r="K97" s="28" t="n"/>
    </row>
    <row r="98" ht="20" customHeight="1">
      <c r="A98" s="27" t="n"/>
      <c r="B98" s="28" t="n"/>
      <c r="C98" s="28" t="n"/>
      <c r="D98" s="28" t="n"/>
      <c r="E98" s="29" t="n"/>
      <c r="F98" s="29" t="n"/>
      <c r="G98" s="29">
        <f>IF(AND(ISNUMBER(E98),ISNUMBER(F98)),F98-E98,"")</f>
        <v/>
      </c>
      <c r="H98" s="30" t="n">
        <v>1</v>
      </c>
      <c r="I98" s="31">
        <f>IF(AND(ISNUMBER(G98),ISNUMBER(H98)),G98*H98,"")</f>
        <v/>
      </c>
      <c r="J98" s="32">
        <f>IF(ISNUMBER(I98),I98*MileRate,"")</f>
        <v/>
      </c>
      <c r="K98" s="28" t="n"/>
    </row>
    <row r="99" ht="20" customHeight="1">
      <c r="A99" s="27" t="n"/>
      <c r="B99" s="28" t="n"/>
      <c r="C99" s="28" t="n"/>
      <c r="D99" s="28" t="n"/>
      <c r="E99" s="29" t="n"/>
      <c r="F99" s="29" t="n"/>
      <c r="G99" s="29">
        <f>IF(AND(ISNUMBER(E99),ISNUMBER(F99)),F99-E99,"")</f>
        <v/>
      </c>
      <c r="H99" s="30" t="n">
        <v>1</v>
      </c>
      <c r="I99" s="31">
        <f>IF(AND(ISNUMBER(G99),ISNUMBER(H99)),G99*H99,"")</f>
        <v/>
      </c>
      <c r="J99" s="32">
        <f>IF(ISNUMBER(I99),I99*MileRate,"")</f>
        <v/>
      </c>
      <c r="K99" s="28" t="n"/>
    </row>
    <row r="100" ht="20" customHeight="1">
      <c r="A100" s="27" t="n"/>
      <c r="B100" s="28" t="n"/>
      <c r="C100" s="28" t="n"/>
      <c r="D100" s="28" t="n"/>
      <c r="E100" s="29" t="n"/>
      <c r="F100" s="29" t="n"/>
      <c r="G100" s="29">
        <f>IF(AND(ISNUMBER(E100),ISNUMBER(F100)),F100-E100,"")</f>
        <v/>
      </c>
      <c r="H100" s="30" t="n">
        <v>1</v>
      </c>
      <c r="I100" s="31">
        <f>IF(AND(ISNUMBER(G100),ISNUMBER(H100)),G100*H100,"")</f>
        <v/>
      </c>
      <c r="J100" s="32">
        <f>IF(ISNUMBER(I100),I100*MileRate,"")</f>
        <v/>
      </c>
      <c r="K100" s="28" t="n"/>
    </row>
    <row r="101" ht="20" customHeight="1">
      <c r="A101" s="27" t="n"/>
      <c r="B101" s="28" t="n"/>
      <c r="C101" s="28" t="n"/>
      <c r="D101" s="28" t="n"/>
      <c r="E101" s="29" t="n"/>
      <c r="F101" s="29" t="n"/>
      <c r="G101" s="29">
        <f>IF(AND(ISNUMBER(E101),ISNUMBER(F101)),F101-E101,"")</f>
        <v/>
      </c>
      <c r="H101" s="30" t="n">
        <v>1</v>
      </c>
      <c r="I101" s="31">
        <f>IF(AND(ISNUMBER(G101),ISNUMBER(H101)),G101*H101,"")</f>
        <v/>
      </c>
      <c r="J101" s="32">
        <f>IF(ISNUMBER(I101),I101*MileRate,"")</f>
        <v/>
      </c>
      <c r="K101" s="28" t="n"/>
    </row>
    <row r="102" ht="20" customHeight="1">
      <c r="A102" s="27" t="n"/>
      <c r="B102" s="28" t="n"/>
      <c r="C102" s="28" t="n"/>
      <c r="D102" s="28" t="n"/>
      <c r="E102" s="29" t="n"/>
      <c r="F102" s="29" t="n"/>
      <c r="G102" s="29">
        <f>IF(AND(ISNUMBER(E102),ISNUMBER(F102)),F102-E102,"")</f>
        <v/>
      </c>
      <c r="H102" s="30" t="n">
        <v>1</v>
      </c>
      <c r="I102" s="31">
        <f>IF(AND(ISNUMBER(G102),ISNUMBER(H102)),G102*H102,"")</f>
        <v/>
      </c>
      <c r="J102" s="32">
        <f>IF(ISNUMBER(I102),I102*MileRate,"")</f>
        <v/>
      </c>
      <c r="K102" s="28" t="n"/>
    </row>
    <row r="103" ht="20" customHeight="1">
      <c r="A103" s="27" t="n"/>
      <c r="B103" s="28" t="n"/>
      <c r="C103" s="28" t="n"/>
      <c r="D103" s="28" t="n"/>
      <c r="E103" s="29" t="n"/>
      <c r="F103" s="29" t="n"/>
      <c r="G103" s="29">
        <f>IF(AND(ISNUMBER(E103),ISNUMBER(F103)),F103-E103,"")</f>
        <v/>
      </c>
      <c r="H103" s="30" t="n">
        <v>1</v>
      </c>
      <c r="I103" s="31">
        <f>IF(AND(ISNUMBER(G103),ISNUMBER(H103)),G103*H103,"")</f>
        <v/>
      </c>
      <c r="J103" s="32">
        <f>IF(ISNUMBER(I103),I103*MileRate,"")</f>
        <v/>
      </c>
      <c r="K103" s="28" t="n"/>
    </row>
    <row r="104" ht="20" customHeight="1">
      <c r="A104" s="27" t="n"/>
      <c r="B104" s="28" t="n"/>
      <c r="C104" s="28" t="n"/>
      <c r="D104" s="28" t="n"/>
      <c r="E104" s="29" t="n"/>
      <c r="F104" s="29" t="n"/>
      <c r="G104" s="29">
        <f>IF(AND(ISNUMBER(E104),ISNUMBER(F104)),F104-E104,"")</f>
        <v/>
      </c>
      <c r="H104" s="30" t="n">
        <v>1</v>
      </c>
      <c r="I104" s="31">
        <f>IF(AND(ISNUMBER(G104),ISNUMBER(H104)),G104*H104,"")</f>
        <v/>
      </c>
      <c r="J104" s="32">
        <f>IF(ISNUMBER(I104),I104*MileRate,"")</f>
        <v/>
      </c>
      <c r="K104" s="28" t="n"/>
    </row>
    <row r="105" ht="20" customHeight="1">
      <c r="A105" s="27" t="n"/>
      <c r="B105" s="28" t="n"/>
      <c r="C105" s="28" t="n"/>
      <c r="D105" s="28" t="n"/>
      <c r="E105" s="29" t="n"/>
      <c r="F105" s="29" t="n"/>
      <c r="G105" s="29">
        <f>IF(AND(ISNUMBER(E105),ISNUMBER(F105)),F105-E105,"")</f>
        <v/>
      </c>
      <c r="H105" s="30" t="n">
        <v>1</v>
      </c>
      <c r="I105" s="31">
        <f>IF(AND(ISNUMBER(G105),ISNUMBER(H105)),G105*H105,"")</f>
        <v/>
      </c>
      <c r="J105" s="32">
        <f>IF(ISNUMBER(I105),I105*MileRate,"")</f>
        <v/>
      </c>
      <c r="K105" s="28" t="n"/>
    </row>
    <row r="106" ht="20" customHeight="1">
      <c r="A106" s="27" t="n"/>
      <c r="B106" s="28" t="n"/>
      <c r="C106" s="28" t="n"/>
      <c r="D106" s="28" t="n"/>
      <c r="E106" s="29" t="n"/>
      <c r="F106" s="29" t="n"/>
      <c r="G106" s="29">
        <f>IF(AND(ISNUMBER(E106),ISNUMBER(F106)),F106-E106,"")</f>
        <v/>
      </c>
      <c r="H106" s="30" t="n">
        <v>1</v>
      </c>
      <c r="I106" s="31">
        <f>IF(AND(ISNUMBER(G106),ISNUMBER(H106)),G106*H106,"")</f>
        <v/>
      </c>
      <c r="J106" s="32">
        <f>IF(ISNUMBER(I106),I106*MileRate,"")</f>
        <v/>
      </c>
      <c r="K106" s="28" t="n"/>
    </row>
    <row r="107" ht="20" customHeight="1">
      <c r="A107" s="27" t="n"/>
      <c r="B107" s="28" t="n"/>
      <c r="C107" s="28" t="n"/>
      <c r="D107" s="28" t="n"/>
      <c r="E107" s="29" t="n"/>
      <c r="F107" s="29" t="n"/>
      <c r="G107" s="29">
        <f>IF(AND(ISNUMBER(E107),ISNUMBER(F107)),F107-E107,"")</f>
        <v/>
      </c>
      <c r="H107" s="30" t="n">
        <v>1</v>
      </c>
      <c r="I107" s="31">
        <f>IF(AND(ISNUMBER(G107),ISNUMBER(H107)),G107*H107,"")</f>
        <v/>
      </c>
      <c r="J107" s="32">
        <f>IF(ISNUMBER(I107),I107*MileRate,"")</f>
        <v/>
      </c>
      <c r="K107" s="28" t="n"/>
    </row>
    <row r="108" ht="20" customHeight="1">
      <c r="A108" s="27" t="n"/>
      <c r="B108" s="28" t="n"/>
      <c r="C108" s="28" t="n"/>
      <c r="D108" s="28" t="n"/>
      <c r="E108" s="29" t="n"/>
      <c r="F108" s="29" t="n"/>
      <c r="G108" s="29">
        <f>IF(AND(ISNUMBER(E108),ISNUMBER(F108)),F108-E108,"")</f>
        <v/>
      </c>
      <c r="H108" s="30" t="n">
        <v>1</v>
      </c>
      <c r="I108" s="31">
        <f>IF(AND(ISNUMBER(G108),ISNUMBER(H108)),G108*H108,"")</f>
        <v/>
      </c>
      <c r="J108" s="32">
        <f>IF(ISNUMBER(I108),I108*MileRate,"")</f>
        <v/>
      </c>
      <c r="K108" s="28" t="n"/>
    </row>
    <row r="109" ht="20" customHeight="1">
      <c r="A109" s="27" t="n"/>
      <c r="B109" s="28" t="n"/>
      <c r="C109" s="28" t="n"/>
      <c r="D109" s="28" t="n"/>
      <c r="E109" s="29" t="n"/>
      <c r="F109" s="29" t="n"/>
      <c r="G109" s="29">
        <f>IF(AND(ISNUMBER(E109),ISNUMBER(F109)),F109-E109,"")</f>
        <v/>
      </c>
      <c r="H109" s="30" t="n">
        <v>1</v>
      </c>
      <c r="I109" s="31">
        <f>IF(AND(ISNUMBER(G109),ISNUMBER(H109)),G109*H109,"")</f>
        <v/>
      </c>
      <c r="J109" s="32">
        <f>IF(ISNUMBER(I109),I109*MileRate,"")</f>
        <v/>
      </c>
      <c r="K109" s="28" t="n"/>
    </row>
    <row r="110" ht="20" customHeight="1">
      <c r="A110" s="27" t="n"/>
      <c r="B110" s="28" t="n"/>
      <c r="C110" s="28" t="n"/>
      <c r="D110" s="28" t="n"/>
      <c r="E110" s="29" t="n"/>
      <c r="F110" s="29" t="n"/>
      <c r="G110" s="29">
        <f>IF(AND(ISNUMBER(E110),ISNUMBER(F110)),F110-E110,"")</f>
        <v/>
      </c>
      <c r="H110" s="30" t="n">
        <v>1</v>
      </c>
      <c r="I110" s="31">
        <f>IF(AND(ISNUMBER(G110),ISNUMBER(H110)),G110*H110,"")</f>
        <v/>
      </c>
      <c r="J110" s="32">
        <f>IF(ISNUMBER(I110),I110*MileRate,"")</f>
        <v/>
      </c>
      <c r="K110" s="28" t="n"/>
    </row>
    <row r="111" ht="20" customHeight="1">
      <c r="A111" s="27" t="n"/>
      <c r="B111" s="28" t="n"/>
      <c r="C111" s="28" t="n"/>
      <c r="D111" s="28" t="n"/>
      <c r="E111" s="29" t="n"/>
      <c r="F111" s="29" t="n"/>
      <c r="G111" s="29">
        <f>IF(AND(ISNUMBER(E111),ISNUMBER(F111)),F111-E111,"")</f>
        <v/>
      </c>
      <c r="H111" s="30" t="n">
        <v>1</v>
      </c>
      <c r="I111" s="31">
        <f>IF(AND(ISNUMBER(G111),ISNUMBER(H111)),G111*H111,"")</f>
        <v/>
      </c>
      <c r="J111" s="32">
        <f>IF(ISNUMBER(I111),I111*MileRate,"")</f>
        <v/>
      </c>
      <c r="K111" s="28" t="n"/>
    </row>
    <row r="112" ht="20" customHeight="1">
      <c r="A112" s="27" t="n"/>
      <c r="B112" s="28" t="n"/>
      <c r="C112" s="28" t="n"/>
      <c r="D112" s="28" t="n"/>
      <c r="E112" s="29" t="n"/>
      <c r="F112" s="29" t="n"/>
      <c r="G112" s="29">
        <f>IF(AND(ISNUMBER(E112),ISNUMBER(F112)),F112-E112,"")</f>
        <v/>
      </c>
      <c r="H112" s="30" t="n">
        <v>1</v>
      </c>
      <c r="I112" s="31">
        <f>IF(AND(ISNUMBER(G112),ISNUMBER(H112)),G112*H112,"")</f>
        <v/>
      </c>
      <c r="J112" s="32">
        <f>IF(ISNUMBER(I112),I112*MileRate,"")</f>
        <v/>
      </c>
      <c r="K112" s="28" t="n"/>
    </row>
    <row r="113" ht="20" customHeight="1">
      <c r="A113" s="27" t="n"/>
      <c r="B113" s="28" t="n"/>
      <c r="C113" s="28" t="n"/>
      <c r="D113" s="28" t="n"/>
      <c r="E113" s="29" t="n"/>
      <c r="F113" s="29" t="n"/>
      <c r="G113" s="29">
        <f>IF(AND(ISNUMBER(E113),ISNUMBER(F113)),F113-E113,"")</f>
        <v/>
      </c>
      <c r="H113" s="30" t="n">
        <v>1</v>
      </c>
      <c r="I113" s="31">
        <f>IF(AND(ISNUMBER(G113),ISNUMBER(H113)),G113*H113,"")</f>
        <v/>
      </c>
      <c r="J113" s="32">
        <f>IF(ISNUMBER(I113),I113*MileRate,"")</f>
        <v/>
      </c>
      <c r="K113" s="28" t="n"/>
    </row>
    <row r="114" ht="20" customHeight="1">
      <c r="A114" s="27" t="n"/>
      <c r="B114" s="28" t="n"/>
      <c r="C114" s="28" t="n"/>
      <c r="D114" s="28" t="n"/>
      <c r="E114" s="29" t="n"/>
      <c r="F114" s="29" t="n"/>
      <c r="G114" s="29">
        <f>IF(AND(ISNUMBER(E114),ISNUMBER(F114)),F114-E114,"")</f>
        <v/>
      </c>
      <c r="H114" s="30" t="n">
        <v>1</v>
      </c>
      <c r="I114" s="31">
        <f>IF(AND(ISNUMBER(G114),ISNUMBER(H114)),G114*H114,"")</f>
        <v/>
      </c>
      <c r="J114" s="32">
        <f>IF(ISNUMBER(I114),I114*MileRate,"")</f>
        <v/>
      </c>
      <c r="K114" s="28" t="n"/>
    </row>
    <row r="115" ht="20" customHeight="1">
      <c r="A115" s="27" t="n"/>
      <c r="B115" s="28" t="n"/>
      <c r="C115" s="28" t="n"/>
      <c r="D115" s="28" t="n"/>
      <c r="E115" s="29" t="n"/>
      <c r="F115" s="29" t="n"/>
      <c r="G115" s="29">
        <f>IF(AND(ISNUMBER(E115),ISNUMBER(F115)),F115-E115,"")</f>
        <v/>
      </c>
      <c r="H115" s="30" t="n">
        <v>1</v>
      </c>
      <c r="I115" s="31">
        <f>IF(AND(ISNUMBER(G115),ISNUMBER(H115)),G115*H115,"")</f>
        <v/>
      </c>
      <c r="J115" s="32">
        <f>IF(ISNUMBER(I115),I115*MileRate,"")</f>
        <v/>
      </c>
      <c r="K115" s="28" t="n"/>
    </row>
    <row r="116" ht="20" customHeight="1">
      <c r="A116" s="27" t="n"/>
      <c r="B116" s="28" t="n"/>
      <c r="C116" s="28" t="n"/>
      <c r="D116" s="28" t="n"/>
      <c r="E116" s="29" t="n"/>
      <c r="F116" s="29" t="n"/>
      <c r="G116" s="29">
        <f>IF(AND(ISNUMBER(E116),ISNUMBER(F116)),F116-E116,"")</f>
        <v/>
      </c>
      <c r="H116" s="30" t="n">
        <v>1</v>
      </c>
      <c r="I116" s="31">
        <f>IF(AND(ISNUMBER(G116),ISNUMBER(H116)),G116*H116,"")</f>
        <v/>
      </c>
      <c r="J116" s="32">
        <f>IF(ISNUMBER(I116),I116*MileRate,"")</f>
        <v/>
      </c>
      <c r="K116" s="28" t="n"/>
    </row>
    <row r="117" ht="20" customHeight="1">
      <c r="A117" s="27" t="n"/>
      <c r="B117" s="28" t="n"/>
      <c r="C117" s="28" t="n"/>
      <c r="D117" s="28" t="n"/>
      <c r="E117" s="29" t="n"/>
      <c r="F117" s="29" t="n"/>
      <c r="G117" s="29">
        <f>IF(AND(ISNUMBER(E117),ISNUMBER(F117)),F117-E117,"")</f>
        <v/>
      </c>
      <c r="H117" s="30" t="n">
        <v>1</v>
      </c>
      <c r="I117" s="31">
        <f>IF(AND(ISNUMBER(G117),ISNUMBER(H117)),G117*H117,"")</f>
        <v/>
      </c>
      <c r="J117" s="32">
        <f>IF(ISNUMBER(I117),I117*MileRate,"")</f>
        <v/>
      </c>
      <c r="K117" s="28" t="n"/>
    </row>
    <row r="118" ht="20" customHeight="1">
      <c r="A118" s="27" t="n"/>
      <c r="B118" s="28" t="n"/>
      <c r="C118" s="28" t="n"/>
      <c r="D118" s="28" t="n"/>
      <c r="E118" s="29" t="n"/>
      <c r="F118" s="29" t="n"/>
      <c r="G118" s="29">
        <f>IF(AND(ISNUMBER(E118),ISNUMBER(F118)),F118-E118,"")</f>
        <v/>
      </c>
      <c r="H118" s="30" t="n">
        <v>1</v>
      </c>
      <c r="I118" s="31">
        <f>IF(AND(ISNUMBER(G118),ISNUMBER(H118)),G118*H118,"")</f>
        <v/>
      </c>
      <c r="J118" s="32">
        <f>IF(ISNUMBER(I118),I118*MileRate,"")</f>
        <v/>
      </c>
      <c r="K118" s="28" t="n"/>
    </row>
    <row r="119" ht="20" customHeight="1">
      <c r="A119" s="27" t="n"/>
      <c r="B119" s="28" t="n"/>
      <c r="C119" s="28" t="n"/>
      <c r="D119" s="28" t="n"/>
      <c r="E119" s="29" t="n"/>
      <c r="F119" s="29" t="n"/>
      <c r="G119" s="29">
        <f>IF(AND(ISNUMBER(E119),ISNUMBER(F119)),F119-E119,"")</f>
        <v/>
      </c>
      <c r="H119" s="30" t="n">
        <v>1</v>
      </c>
      <c r="I119" s="31">
        <f>IF(AND(ISNUMBER(G119),ISNUMBER(H119)),G119*H119,"")</f>
        <v/>
      </c>
      <c r="J119" s="32">
        <f>IF(ISNUMBER(I119),I119*MileRate,"")</f>
        <v/>
      </c>
      <c r="K119" s="28" t="n"/>
    </row>
    <row r="120" ht="20" customHeight="1">
      <c r="A120" s="27" t="n"/>
      <c r="B120" s="28" t="n"/>
      <c r="C120" s="28" t="n"/>
      <c r="D120" s="28" t="n"/>
      <c r="E120" s="29" t="n"/>
      <c r="F120" s="29" t="n"/>
      <c r="G120" s="29">
        <f>IF(AND(ISNUMBER(E120),ISNUMBER(F120)),F120-E120,"")</f>
        <v/>
      </c>
      <c r="H120" s="30" t="n">
        <v>1</v>
      </c>
      <c r="I120" s="31">
        <f>IF(AND(ISNUMBER(G120),ISNUMBER(H120)),G120*H120,"")</f>
        <v/>
      </c>
      <c r="J120" s="32">
        <f>IF(ISNUMBER(I120),I120*MileRate,"")</f>
        <v/>
      </c>
      <c r="K120" s="28" t="n"/>
    </row>
    <row r="121" ht="20" customHeight="1">
      <c r="A121" s="27" t="n"/>
      <c r="B121" s="28" t="n"/>
      <c r="C121" s="28" t="n"/>
      <c r="D121" s="28" t="n"/>
      <c r="E121" s="29" t="n"/>
      <c r="F121" s="29" t="n"/>
      <c r="G121" s="29">
        <f>IF(AND(ISNUMBER(E121),ISNUMBER(F121)),F121-E121,"")</f>
        <v/>
      </c>
      <c r="H121" s="30" t="n">
        <v>1</v>
      </c>
      <c r="I121" s="31">
        <f>IF(AND(ISNUMBER(G121),ISNUMBER(H121)),G121*H121,"")</f>
        <v/>
      </c>
      <c r="J121" s="32">
        <f>IF(ISNUMBER(I121),I121*MileRate,"")</f>
        <v/>
      </c>
      <c r="K121" s="28" t="n"/>
    </row>
    <row r="122" ht="20" customHeight="1">
      <c r="A122" s="27" t="n"/>
      <c r="B122" s="28" t="n"/>
      <c r="C122" s="28" t="n"/>
      <c r="D122" s="28" t="n"/>
      <c r="E122" s="29" t="n"/>
      <c r="F122" s="29" t="n"/>
      <c r="G122" s="29">
        <f>IF(AND(ISNUMBER(E122),ISNUMBER(F122)),F122-E122,"")</f>
        <v/>
      </c>
      <c r="H122" s="30" t="n">
        <v>1</v>
      </c>
      <c r="I122" s="31">
        <f>IF(AND(ISNUMBER(G122),ISNUMBER(H122)),G122*H122,"")</f>
        <v/>
      </c>
      <c r="J122" s="32">
        <f>IF(ISNUMBER(I122),I122*MileRate,"")</f>
        <v/>
      </c>
      <c r="K122" s="28" t="n"/>
    </row>
    <row r="123" ht="20" customHeight="1">
      <c r="A123" s="27" t="n"/>
      <c r="B123" s="28" t="n"/>
      <c r="C123" s="28" t="n"/>
      <c r="D123" s="28" t="n"/>
      <c r="E123" s="29" t="n"/>
      <c r="F123" s="29" t="n"/>
      <c r="G123" s="29">
        <f>IF(AND(ISNUMBER(E123),ISNUMBER(F123)),F123-E123,"")</f>
        <v/>
      </c>
      <c r="H123" s="30" t="n">
        <v>1</v>
      </c>
      <c r="I123" s="31">
        <f>IF(AND(ISNUMBER(G123),ISNUMBER(H123)),G123*H123,"")</f>
        <v/>
      </c>
      <c r="J123" s="32">
        <f>IF(ISNUMBER(I123),I123*MileRate,"")</f>
        <v/>
      </c>
      <c r="K123" s="28" t="n"/>
    </row>
    <row r="124" ht="20" customHeight="1">
      <c r="A124" s="27" t="n"/>
      <c r="B124" s="28" t="n"/>
      <c r="C124" s="28" t="n"/>
      <c r="D124" s="28" t="n"/>
      <c r="E124" s="29" t="n"/>
      <c r="F124" s="29" t="n"/>
      <c r="G124" s="29">
        <f>IF(AND(ISNUMBER(E124),ISNUMBER(F124)),F124-E124,"")</f>
        <v/>
      </c>
      <c r="H124" s="30" t="n">
        <v>1</v>
      </c>
      <c r="I124" s="31">
        <f>IF(AND(ISNUMBER(G124),ISNUMBER(H124)),G124*H124,"")</f>
        <v/>
      </c>
      <c r="J124" s="32">
        <f>IF(ISNUMBER(I124),I124*MileRate,"")</f>
        <v/>
      </c>
      <c r="K124" s="28" t="n"/>
    </row>
    <row r="125" ht="20" customHeight="1">
      <c r="A125" s="27" t="n"/>
      <c r="B125" s="28" t="n"/>
      <c r="C125" s="28" t="n"/>
      <c r="D125" s="28" t="n"/>
      <c r="E125" s="29" t="n"/>
      <c r="F125" s="29" t="n"/>
      <c r="G125" s="29">
        <f>IF(AND(ISNUMBER(E125),ISNUMBER(F125)),F125-E125,"")</f>
        <v/>
      </c>
      <c r="H125" s="30" t="n">
        <v>1</v>
      </c>
      <c r="I125" s="31">
        <f>IF(AND(ISNUMBER(G125),ISNUMBER(H125)),G125*H125,"")</f>
        <v/>
      </c>
      <c r="J125" s="32">
        <f>IF(ISNUMBER(I125),I125*MileRate,"")</f>
        <v/>
      </c>
      <c r="K125" s="28" t="n"/>
    </row>
    <row r="126" ht="20" customHeight="1">
      <c r="A126" s="27" t="n"/>
      <c r="B126" s="28" t="n"/>
      <c r="C126" s="28" t="n"/>
      <c r="D126" s="28" t="n"/>
      <c r="E126" s="29" t="n"/>
      <c r="F126" s="29" t="n"/>
      <c r="G126" s="29">
        <f>IF(AND(ISNUMBER(E126),ISNUMBER(F126)),F126-E126,"")</f>
        <v/>
      </c>
      <c r="H126" s="30" t="n">
        <v>1</v>
      </c>
      <c r="I126" s="31">
        <f>IF(AND(ISNUMBER(G126),ISNUMBER(H126)),G126*H126,"")</f>
        <v/>
      </c>
      <c r="J126" s="32">
        <f>IF(ISNUMBER(I126),I126*MileRate,"")</f>
        <v/>
      </c>
      <c r="K126" s="28" t="n"/>
    </row>
    <row r="127" ht="20" customHeight="1">
      <c r="A127" s="27" t="n"/>
      <c r="B127" s="28" t="n"/>
      <c r="C127" s="28" t="n"/>
      <c r="D127" s="28" t="n"/>
      <c r="E127" s="29" t="n"/>
      <c r="F127" s="29" t="n"/>
      <c r="G127" s="29">
        <f>IF(AND(ISNUMBER(E127),ISNUMBER(F127)),F127-E127,"")</f>
        <v/>
      </c>
      <c r="H127" s="30" t="n">
        <v>1</v>
      </c>
      <c r="I127" s="31">
        <f>IF(AND(ISNUMBER(G127),ISNUMBER(H127)),G127*H127,"")</f>
        <v/>
      </c>
      <c r="J127" s="32">
        <f>IF(ISNUMBER(I127),I127*MileRate,"")</f>
        <v/>
      </c>
      <c r="K127" s="28" t="n"/>
    </row>
    <row r="128" ht="20" customHeight="1">
      <c r="A128" s="27" t="n"/>
      <c r="B128" s="28" t="n"/>
      <c r="C128" s="28" t="n"/>
      <c r="D128" s="28" t="n"/>
      <c r="E128" s="29" t="n"/>
      <c r="F128" s="29" t="n"/>
      <c r="G128" s="29">
        <f>IF(AND(ISNUMBER(E128),ISNUMBER(F128)),F128-E128,"")</f>
        <v/>
      </c>
      <c r="H128" s="30" t="n">
        <v>1</v>
      </c>
      <c r="I128" s="31">
        <f>IF(AND(ISNUMBER(G128),ISNUMBER(H128)),G128*H128,"")</f>
        <v/>
      </c>
      <c r="J128" s="32">
        <f>IF(ISNUMBER(I128),I128*MileRate,"")</f>
        <v/>
      </c>
      <c r="K128" s="28" t="n"/>
    </row>
    <row r="129" ht="20" customHeight="1">
      <c r="A129" s="27" t="n"/>
      <c r="B129" s="28" t="n"/>
      <c r="C129" s="28" t="n"/>
      <c r="D129" s="28" t="n"/>
      <c r="E129" s="29" t="n"/>
      <c r="F129" s="29" t="n"/>
      <c r="G129" s="29">
        <f>IF(AND(ISNUMBER(E129),ISNUMBER(F129)),F129-E129,"")</f>
        <v/>
      </c>
      <c r="H129" s="30" t="n">
        <v>1</v>
      </c>
      <c r="I129" s="31">
        <f>IF(AND(ISNUMBER(G129),ISNUMBER(H129)),G129*H129,"")</f>
        <v/>
      </c>
      <c r="J129" s="32">
        <f>IF(ISNUMBER(I129),I129*MileRate,"")</f>
        <v/>
      </c>
      <c r="K129" s="28" t="n"/>
    </row>
    <row r="130" ht="20" customHeight="1">
      <c r="A130" s="27" t="n"/>
      <c r="B130" s="28" t="n"/>
      <c r="C130" s="28" t="n"/>
      <c r="D130" s="28" t="n"/>
      <c r="E130" s="29" t="n"/>
      <c r="F130" s="29" t="n"/>
      <c r="G130" s="29">
        <f>IF(AND(ISNUMBER(E130),ISNUMBER(F130)),F130-E130,"")</f>
        <v/>
      </c>
      <c r="H130" s="30" t="n">
        <v>1</v>
      </c>
      <c r="I130" s="31">
        <f>IF(AND(ISNUMBER(G130),ISNUMBER(H130)),G130*H130,"")</f>
        <v/>
      </c>
      <c r="J130" s="32">
        <f>IF(ISNUMBER(I130),I130*MileRate,"")</f>
        <v/>
      </c>
      <c r="K130" s="28" t="n"/>
    </row>
    <row r="131" ht="20" customHeight="1">
      <c r="A131" s="27" t="n"/>
      <c r="B131" s="28" t="n"/>
      <c r="C131" s="28" t="n"/>
      <c r="D131" s="28" t="n"/>
      <c r="E131" s="29" t="n"/>
      <c r="F131" s="29" t="n"/>
      <c r="G131" s="29">
        <f>IF(AND(ISNUMBER(E131),ISNUMBER(F131)),F131-E131,"")</f>
        <v/>
      </c>
      <c r="H131" s="30" t="n">
        <v>1</v>
      </c>
      <c r="I131" s="31">
        <f>IF(AND(ISNUMBER(G131),ISNUMBER(H131)),G131*H131,"")</f>
        <v/>
      </c>
      <c r="J131" s="32">
        <f>IF(ISNUMBER(I131),I131*MileRate,"")</f>
        <v/>
      </c>
      <c r="K131" s="28" t="n"/>
    </row>
    <row r="132" ht="20" customHeight="1">
      <c r="A132" s="27" t="n"/>
      <c r="B132" s="28" t="n"/>
      <c r="C132" s="28" t="n"/>
      <c r="D132" s="28" t="n"/>
      <c r="E132" s="29" t="n"/>
      <c r="F132" s="29" t="n"/>
      <c r="G132" s="29">
        <f>IF(AND(ISNUMBER(E132),ISNUMBER(F132)),F132-E132,"")</f>
        <v/>
      </c>
      <c r="H132" s="30" t="n">
        <v>1</v>
      </c>
      <c r="I132" s="31">
        <f>IF(AND(ISNUMBER(G132),ISNUMBER(H132)),G132*H132,"")</f>
        <v/>
      </c>
      <c r="J132" s="32">
        <f>IF(ISNUMBER(I132),I132*MileRate,"")</f>
        <v/>
      </c>
      <c r="K132" s="28" t="n"/>
    </row>
    <row r="133" ht="20" customHeight="1">
      <c r="A133" s="27" t="n"/>
      <c r="B133" s="28" t="n"/>
      <c r="C133" s="28" t="n"/>
      <c r="D133" s="28" t="n"/>
      <c r="E133" s="29" t="n"/>
      <c r="F133" s="29" t="n"/>
      <c r="G133" s="29">
        <f>IF(AND(ISNUMBER(E133),ISNUMBER(F133)),F133-E133,"")</f>
        <v/>
      </c>
      <c r="H133" s="30" t="n">
        <v>1</v>
      </c>
      <c r="I133" s="31">
        <f>IF(AND(ISNUMBER(G133),ISNUMBER(H133)),G133*H133,"")</f>
        <v/>
      </c>
      <c r="J133" s="32">
        <f>IF(ISNUMBER(I133),I133*MileRate,"")</f>
        <v/>
      </c>
      <c r="K133" s="28" t="n"/>
    </row>
    <row r="134" ht="20" customHeight="1">
      <c r="A134" s="27" t="n"/>
      <c r="B134" s="28" t="n"/>
      <c r="C134" s="28" t="n"/>
      <c r="D134" s="28" t="n"/>
      <c r="E134" s="29" t="n"/>
      <c r="F134" s="29" t="n"/>
      <c r="G134" s="29">
        <f>IF(AND(ISNUMBER(E134),ISNUMBER(F134)),F134-E134,"")</f>
        <v/>
      </c>
      <c r="H134" s="30" t="n">
        <v>1</v>
      </c>
      <c r="I134" s="31">
        <f>IF(AND(ISNUMBER(G134),ISNUMBER(H134)),G134*H134,"")</f>
        <v/>
      </c>
      <c r="J134" s="32">
        <f>IF(ISNUMBER(I134),I134*MileRate,"")</f>
        <v/>
      </c>
      <c r="K134" s="28" t="n"/>
    </row>
    <row r="135" ht="20" customHeight="1">
      <c r="A135" s="27" t="n"/>
      <c r="B135" s="28" t="n"/>
      <c r="C135" s="28" t="n"/>
      <c r="D135" s="28" t="n"/>
      <c r="E135" s="29" t="n"/>
      <c r="F135" s="29" t="n"/>
      <c r="G135" s="29">
        <f>IF(AND(ISNUMBER(E135),ISNUMBER(F135)),F135-E135,"")</f>
        <v/>
      </c>
      <c r="H135" s="30" t="n">
        <v>1</v>
      </c>
      <c r="I135" s="31">
        <f>IF(AND(ISNUMBER(G135),ISNUMBER(H135)),G135*H135,"")</f>
        <v/>
      </c>
      <c r="J135" s="32">
        <f>IF(ISNUMBER(I135),I135*MileRate,"")</f>
        <v/>
      </c>
      <c r="K135" s="28" t="n"/>
    </row>
    <row r="136" ht="20" customHeight="1">
      <c r="A136" s="27" t="n"/>
      <c r="B136" s="28" t="n"/>
      <c r="C136" s="28" t="n"/>
      <c r="D136" s="28" t="n"/>
      <c r="E136" s="29" t="n"/>
      <c r="F136" s="29" t="n"/>
      <c r="G136" s="29">
        <f>IF(AND(ISNUMBER(E136),ISNUMBER(F136)),F136-E136,"")</f>
        <v/>
      </c>
      <c r="H136" s="30" t="n">
        <v>1</v>
      </c>
      <c r="I136" s="31">
        <f>IF(AND(ISNUMBER(G136),ISNUMBER(H136)),G136*H136,"")</f>
        <v/>
      </c>
      <c r="J136" s="32">
        <f>IF(ISNUMBER(I136),I136*MileRate,"")</f>
        <v/>
      </c>
      <c r="K136" s="28" t="n"/>
    </row>
    <row r="137" ht="20" customHeight="1">
      <c r="A137" s="27" t="n"/>
      <c r="B137" s="28" t="n"/>
      <c r="C137" s="28" t="n"/>
      <c r="D137" s="28" t="n"/>
      <c r="E137" s="29" t="n"/>
      <c r="F137" s="29" t="n"/>
      <c r="G137" s="29">
        <f>IF(AND(ISNUMBER(E137),ISNUMBER(F137)),F137-E137,"")</f>
        <v/>
      </c>
      <c r="H137" s="30" t="n">
        <v>1</v>
      </c>
      <c r="I137" s="31">
        <f>IF(AND(ISNUMBER(G137),ISNUMBER(H137)),G137*H137,"")</f>
        <v/>
      </c>
      <c r="J137" s="32">
        <f>IF(ISNUMBER(I137),I137*MileRate,"")</f>
        <v/>
      </c>
      <c r="K137" s="28" t="n"/>
    </row>
    <row r="138" ht="20" customHeight="1">
      <c r="A138" s="27" t="n"/>
      <c r="B138" s="28" t="n"/>
      <c r="C138" s="28" t="n"/>
      <c r="D138" s="28" t="n"/>
      <c r="E138" s="29" t="n"/>
      <c r="F138" s="29" t="n"/>
      <c r="G138" s="29">
        <f>IF(AND(ISNUMBER(E138),ISNUMBER(F138)),F138-E138,"")</f>
        <v/>
      </c>
      <c r="H138" s="30" t="n">
        <v>1</v>
      </c>
      <c r="I138" s="31">
        <f>IF(AND(ISNUMBER(G138),ISNUMBER(H138)),G138*H138,"")</f>
        <v/>
      </c>
      <c r="J138" s="32">
        <f>IF(ISNUMBER(I138),I138*MileRate,"")</f>
        <v/>
      </c>
      <c r="K138" s="28" t="n"/>
    </row>
    <row r="139" ht="20" customHeight="1">
      <c r="A139" s="27" t="n"/>
      <c r="B139" s="28" t="n"/>
      <c r="C139" s="28" t="n"/>
      <c r="D139" s="28" t="n"/>
      <c r="E139" s="29" t="n"/>
      <c r="F139" s="29" t="n"/>
      <c r="G139" s="29">
        <f>IF(AND(ISNUMBER(E139),ISNUMBER(F139)),F139-E139,"")</f>
        <v/>
      </c>
      <c r="H139" s="30" t="n">
        <v>1</v>
      </c>
      <c r="I139" s="31">
        <f>IF(AND(ISNUMBER(G139),ISNUMBER(H139)),G139*H139,"")</f>
        <v/>
      </c>
      <c r="J139" s="32">
        <f>IF(ISNUMBER(I139),I139*MileRate,"")</f>
        <v/>
      </c>
      <c r="K139" s="28" t="n"/>
    </row>
    <row r="140" ht="20" customHeight="1">
      <c r="A140" s="27" t="n"/>
      <c r="B140" s="28" t="n"/>
      <c r="C140" s="28" t="n"/>
      <c r="D140" s="28" t="n"/>
      <c r="E140" s="29" t="n"/>
      <c r="F140" s="29" t="n"/>
      <c r="G140" s="29">
        <f>IF(AND(ISNUMBER(E140),ISNUMBER(F140)),F140-E140,"")</f>
        <v/>
      </c>
      <c r="H140" s="30" t="n">
        <v>1</v>
      </c>
      <c r="I140" s="31">
        <f>IF(AND(ISNUMBER(G140),ISNUMBER(H140)),G140*H140,"")</f>
        <v/>
      </c>
      <c r="J140" s="32">
        <f>IF(ISNUMBER(I140),I140*MileRate,"")</f>
        <v/>
      </c>
      <c r="K140" s="28" t="n"/>
    </row>
    <row r="141" ht="20" customHeight="1">
      <c r="A141" s="27" t="n"/>
      <c r="B141" s="28" t="n"/>
      <c r="C141" s="28" t="n"/>
      <c r="D141" s="28" t="n"/>
      <c r="E141" s="29" t="n"/>
      <c r="F141" s="29" t="n"/>
      <c r="G141" s="29">
        <f>IF(AND(ISNUMBER(E141),ISNUMBER(F141)),F141-E141,"")</f>
        <v/>
      </c>
      <c r="H141" s="30" t="n">
        <v>1</v>
      </c>
      <c r="I141" s="31">
        <f>IF(AND(ISNUMBER(G141),ISNUMBER(H141)),G141*H141,"")</f>
        <v/>
      </c>
      <c r="J141" s="32">
        <f>IF(ISNUMBER(I141),I141*MileRate,"")</f>
        <v/>
      </c>
      <c r="K141" s="28" t="n"/>
    </row>
    <row r="142" ht="20" customHeight="1">
      <c r="A142" s="27" t="n"/>
      <c r="B142" s="28" t="n"/>
      <c r="C142" s="28" t="n"/>
      <c r="D142" s="28" t="n"/>
      <c r="E142" s="29" t="n"/>
      <c r="F142" s="29" t="n"/>
      <c r="G142" s="29">
        <f>IF(AND(ISNUMBER(E142),ISNUMBER(F142)),F142-E142,"")</f>
        <v/>
      </c>
      <c r="H142" s="30" t="n">
        <v>1</v>
      </c>
      <c r="I142" s="31">
        <f>IF(AND(ISNUMBER(G142),ISNUMBER(H142)),G142*H142,"")</f>
        <v/>
      </c>
      <c r="J142" s="32">
        <f>IF(ISNUMBER(I142),I142*MileRate,"")</f>
        <v/>
      </c>
      <c r="K142" s="28" t="n"/>
    </row>
    <row r="143" ht="20" customHeight="1">
      <c r="A143" s="27" t="n"/>
      <c r="B143" s="28" t="n"/>
      <c r="C143" s="28" t="n"/>
      <c r="D143" s="28" t="n"/>
      <c r="E143" s="29" t="n"/>
      <c r="F143" s="29" t="n"/>
      <c r="G143" s="29">
        <f>IF(AND(ISNUMBER(E143),ISNUMBER(F143)),F143-E143,"")</f>
        <v/>
      </c>
      <c r="H143" s="30" t="n">
        <v>1</v>
      </c>
      <c r="I143" s="31">
        <f>IF(AND(ISNUMBER(G143),ISNUMBER(H143)),G143*H143,"")</f>
        <v/>
      </c>
      <c r="J143" s="32">
        <f>IF(ISNUMBER(I143),I143*MileRate,"")</f>
        <v/>
      </c>
      <c r="K143" s="28" t="n"/>
    </row>
    <row r="144" ht="20" customHeight="1">
      <c r="A144" s="27" t="n"/>
      <c r="B144" s="28" t="n"/>
      <c r="C144" s="28" t="n"/>
      <c r="D144" s="28" t="n"/>
      <c r="E144" s="29" t="n"/>
      <c r="F144" s="29" t="n"/>
      <c r="G144" s="29">
        <f>IF(AND(ISNUMBER(E144),ISNUMBER(F144)),F144-E144,"")</f>
        <v/>
      </c>
      <c r="H144" s="30" t="n">
        <v>1</v>
      </c>
      <c r="I144" s="31">
        <f>IF(AND(ISNUMBER(G144),ISNUMBER(H144)),G144*H144,"")</f>
        <v/>
      </c>
      <c r="J144" s="32">
        <f>IF(ISNUMBER(I144),I144*MileRate,"")</f>
        <v/>
      </c>
      <c r="K144" s="28" t="n"/>
    </row>
    <row r="145" ht="20" customHeight="1">
      <c r="A145" s="27" t="n"/>
      <c r="B145" s="28" t="n"/>
      <c r="C145" s="28" t="n"/>
      <c r="D145" s="28" t="n"/>
      <c r="E145" s="29" t="n"/>
      <c r="F145" s="29" t="n"/>
      <c r="G145" s="29">
        <f>IF(AND(ISNUMBER(E145),ISNUMBER(F145)),F145-E145,"")</f>
        <v/>
      </c>
      <c r="H145" s="30" t="n">
        <v>1</v>
      </c>
      <c r="I145" s="31">
        <f>IF(AND(ISNUMBER(G145),ISNUMBER(H145)),G145*H145,"")</f>
        <v/>
      </c>
      <c r="J145" s="32">
        <f>IF(ISNUMBER(I145),I145*MileRate,"")</f>
        <v/>
      </c>
      <c r="K145" s="28" t="n"/>
    </row>
    <row r="146" ht="20" customHeight="1">
      <c r="A146" s="27" t="n"/>
      <c r="B146" s="28" t="n"/>
      <c r="C146" s="28" t="n"/>
      <c r="D146" s="28" t="n"/>
      <c r="E146" s="29" t="n"/>
      <c r="F146" s="29" t="n"/>
      <c r="G146" s="29">
        <f>IF(AND(ISNUMBER(E146),ISNUMBER(F146)),F146-E146,"")</f>
        <v/>
      </c>
      <c r="H146" s="30" t="n">
        <v>1</v>
      </c>
      <c r="I146" s="31">
        <f>IF(AND(ISNUMBER(G146),ISNUMBER(H146)),G146*H146,"")</f>
        <v/>
      </c>
      <c r="J146" s="32">
        <f>IF(ISNUMBER(I146),I146*MileRate,"")</f>
        <v/>
      </c>
      <c r="K146" s="28" t="n"/>
    </row>
    <row r="147" ht="20" customHeight="1">
      <c r="A147" s="27" t="n"/>
      <c r="B147" s="28" t="n"/>
      <c r="C147" s="28" t="n"/>
      <c r="D147" s="28" t="n"/>
      <c r="E147" s="29" t="n"/>
      <c r="F147" s="29" t="n"/>
      <c r="G147" s="29">
        <f>IF(AND(ISNUMBER(E147),ISNUMBER(F147)),F147-E147,"")</f>
        <v/>
      </c>
      <c r="H147" s="30" t="n">
        <v>1</v>
      </c>
      <c r="I147" s="31">
        <f>IF(AND(ISNUMBER(G147),ISNUMBER(H147)),G147*H147,"")</f>
        <v/>
      </c>
      <c r="J147" s="32">
        <f>IF(ISNUMBER(I147),I147*MileRate,"")</f>
        <v/>
      </c>
      <c r="K147" s="28" t="n"/>
    </row>
    <row r="148" ht="20" customHeight="1">
      <c r="A148" s="27" t="n"/>
      <c r="B148" s="28" t="n"/>
      <c r="C148" s="28" t="n"/>
      <c r="D148" s="28" t="n"/>
      <c r="E148" s="29" t="n"/>
      <c r="F148" s="29" t="n"/>
      <c r="G148" s="29">
        <f>IF(AND(ISNUMBER(E148),ISNUMBER(F148)),F148-E148,"")</f>
        <v/>
      </c>
      <c r="H148" s="30" t="n">
        <v>1</v>
      </c>
      <c r="I148" s="31">
        <f>IF(AND(ISNUMBER(G148),ISNUMBER(H148)),G148*H148,"")</f>
        <v/>
      </c>
      <c r="J148" s="32">
        <f>IF(ISNUMBER(I148),I148*MileRate,"")</f>
        <v/>
      </c>
      <c r="K148" s="28" t="n"/>
    </row>
    <row r="149" ht="20" customHeight="1">
      <c r="A149" s="27" t="n"/>
      <c r="B149" s="28" t="n"/>
      <c r="C149" s="28" t="n"/>
      <c r="D149" s="28" t="n"/>
      <c r="E149" s="29" t="n"/>
      <c r="F149" s="29" t="n"/>
      <c r="G149" s="29">
        <f>IF(AND(ISNUMBER(E149),ISNUMBER(F149)),F149-E149,"")</f>
        <v/>
      </c>
      <c r="H149" s="30" t="n">
        <v>1</v>
      </c>
      <c r="I149" s="31">
        <f>IF(AND(ISNUMBER(G149),ISNUMBER(H149)),G149*H149,"")</f>
        <v/>
      </c>
      <c r="J149" s="32">
        <f>IF(ISNUMBER(I149),I149*MileRate,"")</f>
        <v/>
      </c>
      <c r="K149" s="28" t="n"/>
    </row>
    <row r="150" ht="20" customHeight="1">
      <c r="A150" s="27" t="n"/>
      <c r="B150" s="28" t="n"/>
      <c r="C150" s="28" t="n"/>
      <c r="D150" s="28" t="n"/>
      <c r="E150" s="29" t="n"/>
      <c r="F150" s="29" t="n"/>
      <c r="G150" s="29">
        <f>IF(AND(ISNUMBER(E150),ISNUMBER(F150)),F150-E150,"")</f>
        <v/>
      </c>
      <c r="H150" s="30" t="n">
        <v>1</v>
      </c>
      <c r="I150" s="31">
        <f>IF(AND(ISNUMBER(G150),ISNUMBER(H150)),G150*H150,"")</f>
        <v/>
      </c>
      <c r="J150" s="32">
        <f>IF(ISNUMBER(I150),I150*MileRate,"")</f>
        <v/>
      </c>
      <c r="K150" s="28" t="n"/>
    </row>
    <row r="151" ht="20" customHeight="1">
      <c r="A151" s="27" t="n"/>
      <c r="B151" s="28" t="n"/>
      <c r="C151" s="28" t="n"/>
      <c r="D151" s="28" t="n"/>
      <c r="E151" s="29" t="n"/>
      <c r="F151" s="29" t="n"/>
      <c r="G151" s="29">
        <f>IF(AND(ISNUMBER(E151),ISNUMBER(F151)),F151-E151,"")</f>
        <v/>
      </c>
      <c r="H151" s="30" t="n">
        <v>1</v>
      </c>
      <c r="I151" s="31">
        <f>IF(AND(ISNUMBER(G151),ISNUMBER(H151)),G151*H151,"")</f>
        <v/>
      </c>
      <c r="J151" s="32">
        <f>IF(ISNUMBER(I151),I151*MileRate,"")</f>
        <v/>
      </c>
      <c r="K151" s="28" t="n"/>
    </row>
    <row r="152" ht="20" customHeight="1">
      <c r="A152" s="27" t="n"/>
      <c r="B152" s="28" t="n"/>
      <c r="C152" s="28" t="n"/>
      <c r="D152" s="28" t="n"/>
      <c r="E152" s="29" t="n"/>
      <c r="F152" s="29" t="n"/>
      <c r="G152" s="29">
        <f>IF(AND(ISNUMBER(E152),ISNUMBER(F152)),F152-E152,"")</f>
        <v/>
      </c>
      <c r="H152" s="30" t="n">
        <v>1</v>
      </c>
      <c r="I152" s="31">
        <f>IF(AND(ISNUMBER(G152),ISNUMBER(H152)),G152*H152,"")</f>
        <v/>
      </c>
      <c r="J152" s="32">
        <f>IF(ISNUMBER(I152),I152*MileRate,"")</f>
        <v/>
      </c>
      <c r="K152" s="28" t="n"/>
    </row>
    <row r="153" ht="20" customHeight="1">
      <c r="A153" s="27" t="n"/>
      <c r="B153" s="28" t="n"/>
      <c r="C153" s="28" t="n"/>
      <c r="D153" s="28" t="n"/>
      <c r="E153" s="29" t="n"/>
      <c r="F153" s="29" t="n"/>
      <c r="G153" s="29">
        <f>IF(AND(ISNUMBER(E153),ISNUMBER(F153)),F153-E153,"")</f>
        <v/>
      </c>
      <c r="H153" s="30" t="n">
        <v>1</v>
      </c>
      <c r="I153" s="31">
        <f>IF(AND(ISNUMBER(G153),ISNUMBER(H153)),G153*H153,"")</f>
        <v/>
      </c>
      <c r="J153" s="32">
        <f>IF(ISNUMBER(I153),I153*MileRate,"")</f>
        <v/>
      </c>
      <c r="K153" s="28" t="n"/>
    </row>
    <row r="154" ht="20" customHeight="1">
      <c r="A154" s="27" t="n"/>
      <c r="B154" s="28" t="n"/>
      <c r="C154" s="28" t="n"/>
      <c r="D154" s="28" t="n"/>
      <c r="E154" s="29" t="n"/>
      <c r="F154" s="29" t="n"/>
      <c r="G154" s="29">
        <f>IF(AND(ISNUMBER(E154),ISNUMBER(F154)),F154-E154,"")</f>
        <v/>
      </c>
      <c r="H154" s="30" t="n">
        <v>1</v>
      </c>
      <c r="I154" s="31">
        <f>IF(AND(ISNUMBER(G154),ISNUMBER(H154)),G154*H154,"")</f>
        <v/>
      </c>
      <c r="J154" s="32">
        <f>IF(ISNUMBER(I154),I154*MileRate,"")</f>
        <v/>
      </c>
      <c r="K154" s="28" t="n"/>
    </row>
    <row r="155" ht="20" customHeight="1">
      <c r="A155" s="27" t="n"/>
      <c r="B155" s="28" t="n"/>
      <c r="C155" s="28" t="n"/>
      <c r="D155" s="28" t="n"/>
      <c r="E155" s="29" t="n"/>
      <c r="F155" s="29" t="n"/>
      <c r="G155" s="29">
        <f>IF(AND(ISNUMBER(E155),ISNUMBER(F155)),F155-E155,"")</f>
        <v/>
      </c>
      <c r="H155" s="30" t="n">
        <v>1</v>
      </c>
      <c r="I155" s="31">
        <f>IF(AND(ISNUMBER(G155),ISNUMBER(H155)),G155*H155,"")</f>
        <v/>
      </c>
      <c r="J155" s="32">
        <f>IF(ISNUMBER(I155),I155*MileRate,"")</f>
        <v/>
      </c>
      <c r="K155" s="28" t="n"/>
    </row>
    <row r="156" ht="20" customHeight="1">
      <c r="A156" s="27" t="n"/>
      <c r="B156" s="28" t="n"/>
      <c r="C156" s="28" t="n"/>
      <c r="D156" s="28" t="n"/>
      <c r="E156" s="29" t="n"/>
      <c r="F156" s="29" t="n"/>
      <c r="G156" s="29">
        <f>IF(AND(ISNUMBER(E156),ISNUMBER(F156)),F156-E156,"")</f>
        <v/>
      </c>
      <c r="H156" s="30" t="n">
        <v>1</v>
      </c>
      <c r="I156" s="31">
        <f>IF(AND(ISNUMBER(G156),ISNUMBER(H156)),G156*H156,"")</f>
        <v/>
      </c>
      <c r="J156" s="32">
        <f>IF(ISNUMBER(I156),I156*MileRate,"")</f>
        <v/>
      </c>
      <c r="K156" s="28" t="n"/>
    </row>
    <row r="157" ht="20" customHeight="1">
      <c r="A157" s="27" t="n"/>
      <c r="B157" s="28" t="n"/>
      <c r="C157" s="28" t="n"/>
      <c r="D157" s="28" t="n"/>
      <c r="E157" s="29" t="n"/>
      <c r="F157" s="29" t="n"/>
      <c r="G157" s="29">
        <f>IF(AND(ISNUMBER(E157),ISNUMBER(F157)),F157-E157,"")</f>
        <v/>
      </c>
      <c r="H157" s="30" t="n">
        <v>1</v>
      </c>
      <c r="I157" s="31">
        <f>IF(AND(ISNUMBER(G157),ISNUMBER(H157)),G157*H157,"")</f>
        <v/>
      </c>
      <c r="J157" s="32">
        <f>IF(ISNUMBER(I157),I157*MileRate,"")</f>
        <v/>
      </c>
      <c r="K157" s="28" t="n"/>
    </row>
    <row r="158" ht="20" customHeight="1">
      <c r="A158" s="27" t="n"/>
      <c r="B158" s="28" t="n"/>
      <c r="C158" s="28" t="n"/>
      <c r="D158" s="28" t="n"/>
      <c r="E158" s="29" t="n"/>
      <c r="F158" s="29" t="n"/>
      <c r="G158" s="29">
        <f>IF(AND(ISNUMBER(E158),ISNUMBER(F158)),F158-E158,"")</f>
        <v/>
      </c>
      <c r="H158" s="30" t="n">
        <v>1</v>
      </c>
      <c r="I158" s="31">
        <f>IF(AND(ISNUMBER(G158),ISNUMBER(H158)),G158*H158,"")</f>
        <v/>
      </c>
      <c r="J158" s="32">
        <f>IF(ISNUMBER(I158),I158*MileRate,"")</f>
        <v/>
      </c>
      <c r="K158" s="28" t="n"/>
    </row>
    <row r="159" ht="20" customHeight="1">
      <c r="A159" s="27" t="n"/>
      <c r="B159" s="28" t="n"/>
      <c r="C159" s="28" t="n"/>
      <c r="D159" s="28" t="n"/>
      <c r="E159" s="29" t="n"/>
      <c r="F159" s="29" t="n"/>
      <c r="G159" s="29">
        <f>IF(AND(ISNUMBER(E159),ISNUMBER(F159)),F159-E159,"")</f>
        <v/>
      </c>
      <c r="H159" s="30" t="n">
        <v>1</v>
      </c>
      <c r="I159" s="31">
        <f>IF(AND(ISNUMBER(G159),ISNUMBER(H159)),G159*H159,"")</f>
        <v/>
      </c>
      <c r="J159" s="32">
        <f>IF(ISNUMBER(I159),I159*MileRate,"")</f>
        <v/>
      </c>
      <c r="K159" s="28" t="n"/>
    </row>
    <row r="160" ht="20" customHeight="1">
      <c r="A160" s="27" t="n"/>
      <c r="B160" s="28" t="n"/>
      <c r="C160" s="28" t="n"/>
      <c r="D160" s="28" t="n"/>
      <c r="E160" s="29" t="n"/>
      <c r="F160" s="29" t="n"/>
      <c r="G160" s="29">
        <f>IF(AND(ISNUMBER(E160),ISNUMBER(F160)),F160-E160,"")</f>
        <v/>
      </c>
      <c r="H160" s="30" t="n">
        <v>1</v>
      </c>
      <c r="I160" s="31">
        <f>IF(AND(ISNUMBER(G160),ISNUMBER(H160)),G160*H160,"")</f>
        <v/>
      </c>
      <c r="J160" s="32">
        <f>IF(ISNUMBER(I160),I160*MileRate,"")</f>
        <v/>
      </c>
      <c r="K160" s="28" t="n"/>
    </row>
    <row r="161" ht="20" customHeight="1">
      <c r="A161" s="27" t="n"/>
      <c r="B161" s="28" t="n"/>
      <c r="C161" s="28" t="n"/>
      <c r="D161" s="28" t="n"/>
      <c r="E161" s="29" t="n"/>
      <c r="F161" s="29" t="n"/>
      <c r="G161" s="29">
        <f>IF(AND(ISNUMBER(E161),ISNUMBER(F161)),F161-E161,"")</f>
        <v/>
      </c>
      <c r="H161" s="30" t="n">
        <v>1</v>
      </c>
      <c r="I161" s="31">
        <f>IF(AND(ISNUMBER(G161),ISNUMBER(H161)),G161*H161,"")</f>
        <v/>
      </c>
      <c r="J161" s="32">
        <f>IF(ISNUMBER(I161),I161*MileRate,"")</f>
        <v/>
      </c>
      <c r="K161" s="28" t="n"/>
    </row>
    <row r="162" ht="20" customHeight="1">
      <c r="A162" s="27" t="n"/>
      <c r="B162" s="28" t="n"/>
      <c r="C162" s="28" t="n"/>
      <c r="D162" s="28" t="n"/>
      <c r="E162" s="29" t="n"/>
      <c r="F162" s="29" t="n"/>
      <c r="G162" s="29">
        <f>IF(AND(ISNUMBER(E162),ISNUMBER(F162)),F162-E162,"")</f>
        <v/>
      </c>
      <c r="H162" s="30" t="n">
        <v>1</v>
      </c>
      <c r="I162" s="31">
        <f>IF(AND(ISNUMBER(G162),ISNUMBER(H162)),G162*H162,"")</f>
        <v/>
      </c>
      <c r="J162" s="32">
        <f>IF(ISNUMBER(I162),I162*MileRate,"")</f>
        <v/>
      </c>
      <c r="K162" s="28" t="n"/>
    </row>
    <row r="163" ht="20" customHeight="1">
      <c r="A163" s="27" t="n"/>
      <c r="B163" s="28" t="n"/>
      <c r="C163" s="28" t="n"/>
      <c r="D163" s="28" t="n"/>
      <c r="E163" s="29" t="n"/>
      <c r="F163" s="29" t="n"/>
      <c r="G163" s="29">
        <f>IF(AND(ISNUMBER(E163),ISNUMBER(F163)),F163-E163,"")</f>
        <v/>
      </c>
      <c r="H163" s="30" t="n">
        <v>1</v>
      </c>
      <c r="I163" s="31">
        <f>IF(AND(ISNUMBER(G163),ISNUMBER(H163)),G163*H163,"")</f>
        <v/>
      </c>
      <c r="J163" s="32">
        <f>IF(ISNUMBER(I163),I163*MileRate,"")</f>
        <v/>
      </c>
      <c r="K163" s="28" t="n"/>
    </row>
    <row r="164" ht="20" customHeight="1">
      <c r="A164" s="27" t="n"/>
      <c r="B164" s="28" t="n"/>
      <c r="C164" s="28" t="n"/>
      <c r="D164" s="28" t="n"/>
      <c r="E164" s="29" t="n"/>
      <c r="F164" s="29" t="n"/>
      <c r="G164" s="29">
        <f>IF(AND(ISNUMBER(E164),ISNUMBER(F164)),F164-E164,"")</f>
        <v/>
      </c>
      <c r="H164" s="30" t="n">
        <v>1</v>
      </c>
      <c r="I164" s="31">
        <f>IF(AND(ISNUMBER(G164),ISNUMBER(H164)),G164*H164,"")</f>
        <v/>
      </c>
      <c r="J164" s="32">
        <f>IF(ISNUMBER(I164),I164*MileRate,"")</f>
        <v/>
      </c>
      <c r="K164" s="28" t="n"/>
    </row>
    <row r="165" ht="20" customHeight="1">
      <c r="A165" s="27" t="n"/>
      <c r="B165" s="28" t="n"/>
      <c r="C165" s="28" t="n"/>
      <c r="D165" s="28" t="n"/>
      <c r="E165" s="29" t="n"/>
      <c r="F165" s="29" t="n"/>
      <c r="G165" s="29">
        <f>IF(AND(ISNUMBER(E165),ISNUMBER(F165)),F165-E165,"")</f>
        <v/>
      </c>
      <c r="H165" s="30" t="n">
        <v>1</v>
      </c>
      <c r="I165" s="31">
        <f>IF(AND(ISNUMBER(G165),ISNUMBER(H165)),G165*H165,"")</f>
        <v/>
      </c>
      <c r="J165" s="32">
        <f>IF(ISNUMBER(I165),I165*MileRate,"")</f>
        <v/>
      </c>
      <c r="K165" s="28" t="n"/>
    </row>
    <row r="166" ht="20" customHeight="1">
      <c r="A166" s="27" t="n"/>
      <c r="B166" s="28" t="n"/>
      <c r="C166" s="28" t="n"/>
      <c r="D166" s="28" t="n"/>
      <c r="E166" s="29" t="n"/>
      <c r="F166" s="29" t="n"/>
      <c r="G166" s="29">
        <f>IF(AND(ISNUMBER(E166),ISNUMBER(F166)),F166-E166,"")</f>
        <v/>
      </c>
      <c r="H166" s="30" t="n">
        <v>1</v>
      </c>
      <c r="I166" s="31">
        <f>IF(AND(ISNUMBER(G166),ISNUMBER(H166)),G166*H166,"")</f>
        <v/>
      </c>
      <c r="J166" s="32">
        <f>IF(ISNUMBER(I166),I166*MileRate,"")</f>
        <v/>
      </c>
      <c r="K166" s="28" t="n"/>
    </row>
    <row r="167" ht="20" customHeight="1">
      <c r="A167" s="27" t="n"/>
      <c r="B167" s="28" t="n"/>
      <c r="C167" s="28" t="n"/>
      <c r="D167" s="28" t="n"/>
      <c r="E167" s="29" t="n"/>
      <c r="F167" s="29" t="n"/>
      <c r="G167" s="29">
        <f>IF(AND(ISNUMBER(E167),ISNUMBER(F167)),F167-E167,"")</f>
        <v/>
      </c>
      <c r="H167" s="30" t="n">
        <v>1</v>
      </c>
      <c r="I167" s="31">
        <f>IF(AND(ISNUMBER(G167),ISNUMBER(H167)),G167*H167,"")</f>
        <v/>
      </c>
      <c r="J167" s="32">
        <f>IF(ISNUMBER(I167),I167*MileRate,"")</f>
        <v/>
      </c>
      <c r="K167" s="28" t="n"/>
    </row>
    <row r="168" ht="20" customHeight="1">
      <c r="A168" s="27" t="n"/>
      <c r="B168" s="28" t="n"/>
      <c r="C168" s="28" t="n"/>
      <c r="D168" s="28" t="n"/>
      <c r="E168" s="29" t="n"/>
      <c r="F168" s="29" t="n"/>
      <c r="G168" s="29">
        <f>IF(AND(ISNUMBER(E168),ISNUMBER(F168)),F168-E168,"")</f>
        <v/>
      </c>
      <c r="H168" s="30" t="n">
        <v>1</v>
      </c>
      <c r="I168" s="31">
        <f>IF(AND(ISNUMBER(G168),ISNUMBER(H168)),G168*H168,"")</f>
        <v/>
      </c>
      <c r="J168" s="32">
        <f>IF(ISNUMBER(I168),I168*MileRate,"")</f>
        <v/>
      </c>
      <c r="K168" s="28" t="n"/>
    </row>
    <row r="169" ht="20" customHeight="1">
      <c r="A169" s="27" t="n"/>
      <c r="B169" s="28" t="n"/>
      <c r="C169" s="28" t="n"/>
      <c r="D169" s="28" t="n"/>
      <c r="E169" s="29" t="n"/>
      <c r="F169" s="29" t="n"/>
      <c r="G169" s="29">
        <f>IF(AND(ISNUMBER(E169),ISNUMBER(F169)),F169-E169,"")</f>
        <v/>
      </c>
      <c r="H169" s="30" t="n">
        <v>1</v>
      </c>
      <c r="I169" s="31">
        <f>IF(AND(ISNUMBER(G169),ISNUMBER(H169)),G169*H169,"")</f>
        <v/>
      </c>
      <c r="J169" s="32">
        <f>IF(ISNUMBER(I169),I169*MileRate,"")</f>
        <v/>
      </c>
      <c r="K169" s="28" t="n"/>
    </row>
    <row r="170" ht="20" customHeight="1">
      <c r="A170" s="27" t="n"/>
      <c r="B170" s="28" t="n"/>
      <c r="C170" s="28" t="n"/>
      <c r="D170" s="28" t="n"/>
      <c r="E170" s="29" t="n"/>
      <c r="F170" s="29" t="n"/>
      <c r="G170" s="29">
        <f>IF(AND(ISNUMBER(E170),ISNUMBER(F170)),F170-E170,"")</f>
        <v/>
      </c>
      <c r="H170" s="30" t="n">
        <v>1</v>
      </c>
      <c r="I170" s="31">
        <f>IF(AND(ISNUMBER(G170),ISNUMBER(H170)),G170*H170,"")</f>
        <v/>
      </c>
      <c r="J170" s="32">
        <f>IF(ISNUMBER(I170),I170*MileRate,"")</f>
        <v/>
      </c>
      <c r="K170" s="28" t="n"/>
    </row>
    <row r="171" ht="20" customHeight="1">
      <c r="A171" s="27" t="n"/>
      <c r="B171" s="28" t="n"/>
      <c r="C171" s="28" t="n"/>
      <c r="D171" s="28" t="n"/>
      <c r="E171" s="29" t="n"/>
      <c r="F171" s="29" t="n"/>
      <c r="G171" s="29">
        <f>IF(AND(ISNUMBER(E171),ISNUMBER(F171)),F171-E171,"")</f>
        <v/>
      </c>
      <c r="H171" s="30" t="n">
        <v>1</v>
      </c>
      <c r="I171" s="31">
        <f>IF(AND(ISNUMBER(G171),ISNUMBER(H171)),G171*H171,"")</f>
        <v/>
      </c>
      <c r="J171" s="32">
        <f>IF(ISNUMBER(I171),I171*MileRate,"")</f>
        <v/>
      </c>
      <c r="K171" s="28" t="n"/>
    </row>
    <row r="172" ht="20" customHeight="1">
      <c r="A172" s="27" t="n"/>
      <c r="B172" s="28" t="n"/>
      <c r="C172" s="28" t="n"/>
      <c r="D172" s="28" t="n"/>
      <c r="E172" s="29" t="n"/>
      <c r="F172" s="29" t="n"/>
      <c r="G172" s="29">
        <f>IF(AND(ISNUMBER(E172),ISNUMBER(F172)),F172-E172,"")</f>
        <v/>
      </c>
      <c r="H172" s="30" t="n">
        <v>1</v>
      </c>
      <c r="I172" s="31">
        <f>IF(AND(ISNUMBER(G172),ISNUMBER(H172)),G172*H172,"")</f>
        <v/>
      </c>
      <c r="J172" s="32">
        <f>IF(ISNUMBER(I172),I172*MileRate,"")</f>
        <v/>
      </c>
      <c r="K172" s="28" t="n"/>
    </row>
    <row r="173" ht="20" customHeight="1">
      <c r="A173" s="27" t="n"/>
      <c r="B173" s="28" t="n"/>
      <c r="C173" s="28" t="n"/>
      <c r="D173" s="28" t="n"/>
      <c r="E173" s="29" t="n"/>
      <c r="F173" s="29" t="n"/>
      <c r="G173" s="29">
        <f>IF(AND(ISNUMBER(E173),ISNUMBER(F173)),F173-E173,"")</f>
        <v/>
      </c>
      <c r="H173" s="30" t="n">
        <v>1</v>
      </c>
      <c r="I173" s="31">
        <f>IF(AND(ISNUMBER(G173),ISNUMBER(H173)),G173*H173,"")</f>
        <v/>
      </c>
      <c r="J173" s="32">
        <f>IF(ISNUMBER(I173),I173*MileRate,"")</f>
        <v/>
      </c>
      <c r="K173" s="28" t="n"/>
    </row>
    <row r="174" ht="20" customHeight="1">
      <c r="A174" s="27" t="n"/>
      <c r="B174" s="28" t="n"/>
      <c r="C174" s="28" t="n"/>
      <c r="D174" s="28" t="n"/>
      <c r="E174" s="29" t="n"/>
      <c r="F174" s="29" t="n"/>
      <c r="G174" s="29">
        <f>IF(AND(ISNUMBER(E174),ISNUMBER(F174)),F174-E174,"")</f>
        <v/>
      </c>
      <c r="H174" s="30" t="n">
        <v>1</v>
      </c>
      <c r="I174" s="31">
        <f>IF(AND(ISNUMBER(G174),ISNUMBER(H174)),G174*H174,"")</f>
        <v/>
      </c>
      <c r="J174" s="32">
        <f>IF(ISNUMBER(I174),I174*MileRate,"")</f>
        <v/>
      </c>
      <c r="K174" s="28" t="n"/>
    </row>
    <row r="175" ht="20" customHeight="1">
      <c r="A175" s="27" t="n"/>
      <c r="B175" s="28" t="n"/>
      <c r="C175" s="28" t="n"/>
      <c r="D175" s="28" t="n"/>
      <c r="E175" s="29" t="n"/>
      <c r="F175" s="29" t="n"/>
      <c r="G175" s="29">
        <f>IF(AND(ISNUMBER(E175),ISNUMBER(F175)),F175-E175,"")</f>
        <v/>
      </c>
      <c r="H175" s="30" t="n">
        <v>1</v>
      </c>
      <c r="I175" s="31">
        <f>IF(AND(ISNUMBER(G175),ISNUMBER(H175)),G175*H175,"")</f>
        <v/>
      </c>
      <c r="J175" s="32">
        <f>IF(ISNUMBER(I175),I175*MileRate,"")</f>
        <v/>
      </c>
      <c r="K175" s="28" t="n"/>
    </row>
    <row r="176" ht="20" customHeight="1">
      <c r="A176" s="27" t="n"/>
      <c r="B176" s="28" t="n"/>
      <c r="C176" s="28" t="n"/>
      <c r="D176" s="28" t="n"/>
      <c r="E176" s="29" t="n"/>
      <c r="F176" s="29" t="n"/>
      <c r="G176" s="29">
        <f>IF(AND(ISNUMBER(E176),ISNUMBER(F176)),F176-E176,"")</f>
        <v/>
      </c>
      <c r="H176" s="30" t="n">
        <v>1</v>
      </c>
      <c r="I176" s="31">
        <f>IF(AND(ISNUMBER(G176),ISNUMBER(H176)),G176*H176,"")</f>
        <v/>
      </c>
      <c r="J176" s="32">
        <f>IF(ISNUMBER(I176),I176*MileRate,"")</f>
        <v/>
      </c>
      <c r="K176" s="28" t="n"/>
    </row>
    <row r="177" ht="20" customHeight="1">
      <c r="A177" s="27" t="n"/>
      <c r="B177" s="28" t="n"/>
      <c r="C177" s="28" t="n"/>
      <c r="D177" s="28" t="n"/>
      <c r="E177" s="29" t="n"/>
      <c r="F177" s="29" t="n"/>
      <c r="G177" s="29">
        <f>IF(AND(ISNUMBER(E177),ISNUMBER(F177)),F177-E177,"")</f>
        <v/>
      </c>
      <c r="H177" s="30" t="n">
        <v>1</v>
      </c>
      <c r="I177" s="31">
        <f>IF(AND(ISNUMBER(G177),ISNUMBER(H177)),G177*H177,"")</f>
        <v/>
      </c>
      <c r="J177" s="32">
        <f>IF(ISNUMBER(I177),I177*MileRate,"")</f>
        <v/>
      </c>
      <c r="K177" s="28" t="n"/>
    </row>
    <row r="178" ht="20" customHeight="1">
      <c r="A178" s="27" t="n"/>
      <c r="B178" s="28" t="n"/>
      <c r="C178" s="28" t="n"/>
      <c r="D178" s="28" t="n"/>
      <c r="E178" s="29" t="n"/>
      <c r="F178" s="29" t="n"/>
      <c r="G178" s="29">
        <f>IF(AND(ISNUMBER(E178),ISNUMBER(F178)),F178-E178,"")</f>
        <v/>
      </c>
      <c r="H178" s="30" t="n">
        <v>1</v>
      </c>
      <c r="I178" s="31">
        <f>IF(AND(ISNUMBER(G178),ISNUMBER(H178)),G178*H178,"")</f>
        <v/>
      </c>
      <c r="J178" s="32">
        <f>IF(ISNUMBER(I178),I178*MileRate,"")</f>
        <v/>
      </c>
      <c r="K178" s="28" t="n"/>
    </row>
    <row r="179" ht="20" customHeight="1">
      <c r="A179" s="27" t="n"/>
      <c r="B179" s="28" t="n"/>
      <c r="C179" s="28" t="n"/>
      <c r="D179" s="28" t="n"/>
      <c r="E179" s="29" t="n"/>
      <c r="F179" s="29" t="n"/>
      <c r="G179" s="29">
        <f>IF(AND(ISNUMBER(E179),ISNUMBER(F179)),F179-E179,"")</f>
        <v/>
      </c>
      <c r="H179" s="30" t="n">
        <v>1</v>
      </c>
      <c r="I179" s="31">
        <f>IF(AND(ISNUMBER(G179),ISNUMBER(H179)),G179*H179,"")</f>
        <v/>
      </c>
      <c r="J179" s="32">
        <f>IF(ISNUMBER(I179),I179*MileRate,"")</f>
        <v/>
      </c>
      <c r="K179" s="28" t="n"/>
    </row>
    <row r="180" ht="20" customHeight="1">
      <c r="A180" s="27" t="n"/>
      <c r="B180" s="28" t="n"/>
      <c r="C180" s="28" t="n"/>
      <c r="D180" s="28" t="n"/>
      <c r="E180" s="29" t="n"/>
      <c r="F180" s="29" t="n"/>
      <c r="G180" s="29">
        <f>IF(AND(ISNUMBER(E180),ISNUMBER(F180)),F180-E180,"")</f>
        <v/>
      </c>
      <c r="H180" s="30" t="n">
        <v>1</v>
      </c>
      <c r="I180" s="31">
        <f>IF(AND(ISNUMBER(G180),ISNUMBER(H180)),G180*H180,"")</f>
        <v/>
      </c>
      <c r="J180" s="32">
        <f>IF(ISNUMBER(I180),I180*MileRate,"")</f>
        <v/>
      </c>
      <c r="K180" s="28" t="n"/>
    </row>
    <row r="181" ht="20" customHeight="1">
      <c r="A181" s="27" t="n"/>
      <c r="B181" s="28" t="n"/>
      <c r="C181" s="28" t="n"/>
      <c r="D181" s="28" t="n"/>
      <c r="E181" s="29" t="n"/>
      <c r="F181" s="29" t="n"/>
      <c r="G181" s="29">
        <f>IF(AND(ISNUMBER(E181),ISNUMBER(F181)),F181-E181,"")</f>
        <v/>
      </c>
      <c r="H181" s="30" t="n">
        <v>1</v>
      </c>
      <c r="I181" s="31">
        <f>IF(AND(ISNUMBER(G181),ISNUMBER(H181)),G181*H181,"")</f>
        <v/>
      </c>
      <c r="J181" s="32">
        <f>IF(ISNUMBER(I181),I181*MileRate,"")</f>
        <v/>
      </c>
      <c r="K181" s="28" t="n"/>
    </row>
    <row r="182" ht="20" customHeight="1">
      <c r="A182" s="27" t="n"/>
      <c r="B182" s="28" t="n"/>
      <c r="C182" s="28" t="n"/>
      <c r="D182" s="28" t="n"/>
      <c r="E182" s="29" t="n"/>
      <c r="F182" s="29" t="n"/>
      <c r="G182" s="29">
        <f>IF(AND(ISNUMBER(E182),ISNUMBER(F182)),F182-E182,"")</f>
        <v/>
      </c>
      <c r="H182" s="30" t="n">
        <v>1</v>
      </c>
      <c r="I182" s="31">
        <f>IF(AND(ISNUMBER(G182),ISNUMBER(H182)),G182*H182,"")</f>
        <v/>
      </c>
      <c r="J182" s="32">
        <f>IF(ISNUMBER(I182),I182*MileRate,"")</f>
        <v/>
      </c>
      <c r="K182" s="28" t="n"/>
    </row>
    <row r="183" ht="20" customHeight="1">
      <c r="A183" s="27" t="n"/>
      <c r="B183" s="28" t="n"/>
      <c r="C183" s="28" t="n"/>
      <c r="D183" s="28" t="n"/>
      <c r="E183" s="29" t="n"/>
      <c r="F183" s="29" t="n"/>
      <c r="G183" s="29">
        <f>IF(AND(ISNUMBER(E183),ISNUMBER(F183)),F183-E183,"")</f>
        <v/>
      </c>
      <c r="H183" s="30" t="n">
        <v>1</v>
      </c>
      <c r="I183" s="31">
        <f>IF(AND(ISNUMBER(G183),ISNUMBER(H183)),G183*H183,"")</f>
        <v/>
      </c>
      <c r="J183" s="32">
        <f>IF(ISNUMBER(I183),I183*MileRate,"")</f>
        <v/>
      </c>
      <c r="K183" s="28" t="n"/>
    </row>
    <row r="184" ht="20" customHeight="1">
      <c r="A184" s="27" t="n"/>
      <c r="B184" s="28" t="n"/>
      <c r="C184" s="28" t="n"/>
      <c r="D184" s="28" t="n"/>
      <c r="E184" s="29" t="n"/>
      <c r="F184" s="29" t="n"/>
      <c r="G184" s="29">
        <f>IF(AND(ISNUMBER(E184),ISNUMBER(F184)),F184-E184,"")</f>
        <v/>
      </c>
      <c r="H184" s="30" t="n">
        <v>1</v>
      </c>
      <c r="I184" s="31">
        <f>IF(AND(ISNUMBER(G184),ISNUMBER(H184)),G184*H184,"")</f>
        <v/>
      </c>
      <c r="J184" s="32">
        <f>IF(ISNUMBER(I184),I184*MileRate,"")</f>
        <v/>
      </c>
      <c r="K184" s="28" t="n"/>
    </row>
    <row r="185" ht="20" customHeight="1">
      <c r="A185" s="27" t="n"/>
      <c r="B185" s="28" t="n"/>
      <c r="C185" s="28" t="n"/>
      <c r="D185" s="28" t="n"/>
      <c r="E185" s="29" t="n"/>
      <c r="F185" s="29" t="n"/>
      <c r="G185" s="29">
        <f>IF(AND(ISNUMBER(E185),ISNUMBER(F185)),F185-E185,"")</f>
        <v/>
      </c>
      <c r="H185" s="30" t="n">
        <v>1</v>
      </c>
      <c r="I185" s="31">
        <f>IF(AND(ISNUMBER(G185),ISNUMBER(H185)),G185*H185,"")</f>
        <v/>
      </c>
      <c r="J185" s="32">
        <f>IF(ISNUMBER(I185),I185*MileRate,"")</f>
        <v/>
      </c>
      <c r="K185" s="28" t="n"/>
    </row>
    <row r="186" ht="20" customHeight="1">
      <c r="A186" s="27" t="n"/>
      <c r="B186" s="28" t="n"/>
      <c r="C186" s="28" t="n"/>
      <c r="D186" s="28" t="n"/>
      <c r="E186" s="29" t="n"/>
      <c r="F186" s="29" t="n"/>
      <c r="G186" s="29">
        <f>IF(AND(ISNUMBER(E186),ISNUMBER(F186)),F186-E186,"")</f>
        <v/>
      </c>
      <c r="H186" s="30" t="n">
        <v>1</v>
      </c>
      <c r="I186" s="31">
        <f>IF(AND(ISNUMBER(G186),ISNUMBER(H186)),G186*H186,"")</f>
        <v/>
      </c>
      <c r="J186" s="32">
        <f>IF(ISNUMBER(I186),I186*MileRate,"")</f>
        <v/>
      </c>
      <c r="K186" s="28" t="n"/>
    </row>
    <row r="187" ht="20" customHeight="1">
      <c r="A187" s="27" t="n"/>
      <c r="B187" s="28" t="n"/>
      <c r="C187" s="28" t="n"/>
      <c r="D187" s="28" t="n"/>
      <c r="E187" s="29" t="n"/>
      <c r="F187" s="29" t="n"/>
      <c r="G187" s="29">
        <f>IF(AND(ISNUMBER(E187),ISNUMBER(F187)),F187-E187,"")</f>
        <v/>
      </c>
      <c r="H187" s="30" t="n">
        <v>1</v>
      </c>
      <c r="I187" s="31">
        <f>IF(AND(ISNUMBER(G187),ISNUMBER(H187)),G187*H187,"")</f>
        <v/>
      </c>
      <c r="J187" s="32">
        <f>IF(ISNUMBER(I187),I187*MileRate,"")</f>
        <v/>
      </c>
      <c r="K187" s="28" t="n"/>
    </row>
    <row r="188" ht="20" customHeight="1">
      <c r="A188" s="27" t="n"/>
      <c r="B188" s="28" t="n"/>
      <c r="C188" s="28" t="n"/>
      <c r="D188" s="28" t="n"/>
      <c r="E188" s="29" t="n"/>
      <c r="F188" s="29" t="n"/>
      <c r="G188" s="29">
        <f>IF(AND(ISNUMBER(E188),ISNUMBER(F188)),F188-E188,"")</f>
        <v/>
      </c>
      <c r="H188" s="30" t="n">
        <v>1</v>
      </c>
      <c r="I188" s="31">
        <f>IF(AND(ISNUMBER(G188),ISNUMBER(H188)),G188*H188,"")</f>
        <v/>
      </c>
      <c r="J188" s="32">
        <f>IF(ISNUMBER(I188),I188*MileRate,"")</f>
        <v/>
      </c>
      <c r="K188" s="28" t="n"/>
    </row>
    <row r="189" ht="20" customHeight="1">
      <c r="A189" s="27" t="n"/>
      <c r="B189" s="28" t="n"/>
      <c r="C189" s="28" t="n"/>
      <c r="D189" s="28" t="n"/>
      <c r="E189" s="29" t="n"/>
      <c r="F189" s="29" t="n"/>
      <c r="G189" s="29">
        <f>IF(AND(ISNUMBER(E189),ISNUMBER(F189)),F189-E189,"")</f>
        <v/>
      </c>
      <c r="H189" s="30" t="n">
        <v>1</v>
      </c>
      <c r="I189" s="31">
        <f>IF(AND(ISNUMBER(G189),ISNUMBER(H189)),G189*H189,"")</f>
        <v/>
      </c>
      <c r="J189" s="32">
        <f>IF(ISNUMBER(I189),I189*MileRate,"")</f>
        <v/>
      </c>
      <c r="K189" s="28" t="n"/>
    </row>
    <row r="190" ht="20" customHeight="1">
      <c r="A190" s="27" t="n"/>
      <c r="B190" s="28" t="n"/>
      <c r="C190" s="28" t="n"/>
      <c r="D190" s="28" t="n"/>
      <c r="E190" s="29" t="n"/>
      <c r="F190" s="29" t="n"/>
      <c r="G190" s="29">
        <f>IF(AND(ISNUMBER(E190),ISNUMBER(F190)),F190-E190,"")</f>
        <v/>
      </c>
      <c r="H190" s="30" t="n">
        <v>1</v>
      </c>
      <c r="I190" s="31">
        <f>IF(AND(ISNUMBER(G190),ISNUMBER(H190)),G190*H190,"")</f>
        <v/>
      </c>
      <c r="J190" s="32">
        <f>IF(ISNUMBER(I190),I190*MileRate,"")</f>
        <v/>
      </c>
      <c r="K190" s="28" t="n"/>
    </row>
    <row r="191" ht="20" customHeight="1">
      <c r="A191" s="27" t="n"/>
      <c r="B191" s="28" t="n"/>
      <c r="C191" s="28" t="n"/>
      <c r="D191" s="28" t="n"/>
      <c r="E191" s="29" t="n"/>
      <c r="F191" s="29" t="n"/>
      <c r="G191" s="29">
        <f>IF(AND(ISNUMBER(E191),ISNUMBER(F191)),F191-E191,"")</f>
        <v/>
      </c>
      <c r="H191" s="30" t="n">
        <v>1</v>
      </c>
      <c r="I191" s="31">
        <f>IF(AND(ISNUMBER(G191),ISNUMBER(H191)),G191*H191,"")</f>
        <v/>
      </c>
      <c r="J191" s="32">
        <f>IF(ISNUMBER(I191),I191*MileRate,"")</f>
        <v/>
      </c>
      <c r="K191" s="28" t="n"/>
    </row>
    <row r="192" ht="20" customHeight="1">
      <c r="A192" s="27" t="n"/>
      <c r="B192" s="28" t="n"/>
      <c r="C192" s="28" t="n"/>
      <c r="D192" s="28" t="n"/>
      <c r="E192" s="29" t="n"/>
      <c r="F192" s="29" t="n"/>
      <c r="G192" s="29">
        <f>IF(AND(ISNUMBER(E192),ISNUMBER(F192)),F192-E192,"")</f>
        <v/>
      </c>
      <c r="H192" s="30" t="n">
        <v>1</v>
      </c>
      <c r="I192" s="31">
        <f>IF(AND(ISNUMBER(G192),ISNUMBER(H192)),G192*H192,"")</f>
        <v/>
      </c>
      <c r="J192" s="32">
        <f>IF(ISNUMBER(I192),I192*MileRate,"")</f>
        <v/>
      </c>
      <c r="K192" s="28" t="n"/>
    </row>
    <row r="193" ht="20" customHeight="1">
      <c r="A193" s="27" t="n"/>
      <c r="B193" s="28" t="n"/>
      <c r="C193" s="28" t="n"/>
      <c r="D193" s="28" t="n"/>
      <c r="E193" s="29" t="n"/>
      <c r="F193" s="29" t="n"/>
      <c r="G193" s="29">
        <f>IF(AND(ISNUMBER(E193),ISNUMBER(F193)),F193-E193,"")</f>
        <v/>
      </c>
      <c r="H193" s="30" t="n">
        <v>1</v>
      </c>
      <c r="I193" s="31">
        <f>IF(AND(ISNUMBER(G193),ISNUMBER(H193)),G193*H193,"")</f>
        <v/>
      </c>
      <c r="J193" s="32">
        <f>IF(ISNUMBER(I193),I193*MileRate,"")</f>
        <v/>
      </c>
      <c r="K193" s="28" t="n"/>
    </row>
    <row r="194" ht="20" customHeight="1">
      <c r="A194" s="27" t="n"/>
      <c r="B194" s="28" t="n"/>
      <c r="C194" s="28" t="n"/>
      <c r="D194" s="28" t="n"/>
      <c r="E194" s="29" t="n"/>
      <c r="F194" s="29" t="n"/>
      <c r="G194" s="29">
        <f>IF(AND(ISNUMBER(E194),ISNUMBER(F194)),F194-E194,"")</f>
        <v/>
      </c>
      <c r="H194" s="30" t="n">
        <v>1</v>
      </c>
      <c r="I194" s="31">
        <f>IF(AND(ISNUMBER(G194),ISNUMBER(H194)),G194*H194,"")</f>
        <v/>
      </c>
      <c r="J194" s="32">
        <f>IF(ISNUMBER(I194),I194*MileRate,"")</f>
        <v/>
      </c>
      <c r="K194" s="28" t="n"/>
    </row>
    <row r="195" ht="20" customHeight="1">
      <c r="A195" s="27" t="n"/>
      <c r="B195" s="28" t="n"/>
      <c r="C195" s="28" t="n"/>
      <c r="D195" s="28" t="n"/>
      <c r="E195" s="29" t="n"/>
      <c r="F195" s="29" t="n"/>
      <c r="G195" s="29">
        <f>IF(AND(ISNUMBER(E195),ISNUMBER(F195)),F195-E195,"")</f>
        <v/>
      </c>
      <c r="H195" s="30" t="n">
        <v>1</v>
      </c>
      <c r="I195" s="31">
        <f>IF(AND(ISNUMBER(G195),ISNUMBER(H195)),G195*H195,"")</f>
        <v/>
      </c>
      <c r="J195" s="32">
        <f>IF(ISNUMBER(I195),I195*MileRate,"")</f>
        <v/>
      </c>
      <c r="K195" s="28" t="n"/>
    </row>
    <row r="196" ht="20" customHeight="1">
      <c r="A196" s="27" t="n"/>
      <c r="B196" s="28" t="n"/>
      <c r="C196" s="28" t="n"/>
      <c r="D196" s="28" t="n"/>
      <c r="E196" s="29" t="n"/>
      <c r="F196" s="29" t="n"/>
      <c r="G196" s="29">
        <f>IF(AND(ISNUMBER(E196),ISNUMBER(F196)),F196-E196,"")</f>
        <v/>
      </c>
      <c r="H196" s="30" t="n">
        <v>1</v>
      </c>
      <c r="I196" s="31">
        <f>IF(AND(ISNUMBER(G196),ISNUMBER(H196)),G196*H196,"")</f>
        <v/>
      </c>
      <c r="J196" s="32">
        <f>IF(ISNUMBER(I196),I196*MileRate,"")</f>
        <v/>
      </c>
      <c r="K196" s="28" t="n"/>
    </row>
    <row r="197" ht="20" customHeight="1">
      <c r="A197" s="27" t="n"/>
      <c r="B197" s="28" t="n"/>
      <c r="C197" s="28" t="n"/>
      <c r="D197" s="28" t="n"/>
      <c r="E197" s="29" t="n"/>
      <c r="F197" s="29" t="n"/>
      <c r="G197" s="29">
        <f>IF(AND(ISNUMBER(E197),ISNUMBER(F197)),F197-E197,"")</f>
        <v/>
      </c>
      <c r="H197" s="30" t="n">
        <v>1</v>
      </c>
      <c r="I197" s="31">
        <f>IF(AND(ISNUMBER(G197),ISNUMBER(H197)),G197*H197,"")</f>
        <v/>
      </c>
      <c r="J197" s="32">
        <f>IF(ISNUMBER(I197),I197*MileRate,"")</f>
        <v/>
      </c>
      <c r="K197" s="28" t="n"/>
    </row>
    <row r="198" ht="20" customHeight="1">
      <c r="A198" s="27" t="n"/>
      <c r="B198" s="28" t="n"/>
      <c r="C198" s="28" t="n"/>
      <c r="D198" s="28" t="n"/>
      <c r="E198" s="29" t="n"/>
      <c r="F198" s="29" t="n"/>
      <c r="G198" s="29">
        <f>IF(AND(ISNUMBER(E198),ISNUMBER(F198)),F198-E198,"")</f>
        <v/>
      </c>
      <c r="H198" s="30" t="n">
        <v>1</v>
      </c>
      <c r="I198" s="31">
        <f>IF(AND(ISNUMBER(G198),ISNUMBER(H198)),G198*H198,"")</f>
        <v/>
      </c>
      <c r="J198" s="32">
        <f>IF(ISNUMBER(I198),I198*MileRate,"")</f>
        <v/>
      </c>
      <c r="K198" s="28" t="n"/>
    </row>
    <row r="199" ht="20" customHeight="1">
      <c r="A199" s="27" t="n"/>
      <c r="B199" s="28" t="n"/>
      <c r="C199" s="28" t="n"/>
      <c r="D199" s="28" t="n"/>
      <c r="E199" s="29" t="n"/>
      <c r="F199" s="29" t="n"/>
      <c r="G199" s="29">
        <f>IF(AND(ISNUMBER(E199),ISNUMBER(F199)),F199-E199,"")</f>
        <v/>
      </c>
      <c r="H199" s="30" t="n">
        <v>1</v>
      </c>
      <c r="I199" s="31">
        <f>IF(AND(ISNUMBER(G199),ISNUMBER(H199)),G199*H199,"")</f>
        <v/>
      </c>
      <c r="J199" s="32">
        <f>IF(ISNUMBER(I199),I199*MileRate,"")</f>
        <v/>
      </c>
      <c r="K199" s="28" t="n"/>
    </row>
    <row r="200" ht="20" customHeight="1">
      <c r="A200" s="27" t="n"/>
      <c r="B200" s="28" t="n"/>
      <c r="C200" s="28" t="n"/>
      <c r="D200" s="28" t="n"/>
      <c r="E200" s="29" t="n"/>
      <c r="F200" s="29" t="n"/>
      <c r="G200" s="29">
        <f>IF(AND(ISNUMBER(E200),ISNUMBER(F200)),F200-E200,"")</f>
        <v/>
      </c>
      <c r="H200" s="30" t="n">
        <v>1</v>
      </c>
      <c r="I200" s="31">
        <f>IF(AND(ISNUMBER(G200),ISNUMBER(H200)),G200*H200,"")</f>
        <v/>
      </c>
      <c r="J200" s="32">
        <f>IF(ISNUMBER(I200),I200*MileRate,"")</f>
        <v/>
      </c>
      <c r="K200" s="28" t="n"/>
    </row>
    <row r="201" ht="20" customHeight="1">
      <c r="A201" s="27" t="n"/>
      <c r="B201" s="28" t="n"/>
      <c r="C201" s="28" t="n"/>
      <c r="D201" s="28" t="n"/>
      <c r="E201" s="29" t="n"/>
      <c r="F201" s="29" t="n"/>
      <c r="G201" s="29">
        <f>IF(AND(ISNUMBER(E201),ISNUMBER(F201)),F201-E201,"")</f>
        <v/>
      </c>
      <c r="H201" s="30" t="n">
        <v>1</v>
      </c>
      <c r="I201" s="31">
        <f>IF(AND(ISNUMBER(G201),ISNUMBER(H201)),G201*H201,"")</f>
        <v/>
      </c>
      <c r="J201" s="32">
        <f>IF(ISNUMBER(I201),I201*MileRate,"")</f>
        <v/>
      </c>
      <c r="K201" s="28" t="n"/>
    </row>
    <row r="202" ht="20" customHeight="1">
      <c r="A202" s="27" t="n"/>
      <c r="B202" s="28" t="n"/>
      <c r="C202" s="28" t="n"/>
      <c r="D202" s="28" t="n"/>
      <c r="E202" s="29" t="n"/>
      <c r="F202" s="29" t="n"/>
      <c r="G202" s="29">
        <f>IF(AND(ISNUMBER(E202),ISNUMBER(F202)),F202-E202,"")</f>
        <v/>
      </c>
      <c r="H202" s="30" t="n">
        <v>1</v>
      </c>
      <c r="I202" s="31">
        <f>IF(AND(ISNUMBER(G202),ISNUMBER(H202)),G202*H202,"")</f>
        <v/>
      </c>
      <c r="J202" s="32">
        <f>IF(ISNUMBER(I202),I202*MileRate,"")</f>
        <v/>
      </c>
      <c r="K202" s="28" t="n"/>
    </row>
    <row r="203" ht="20" customHeight="1">
      <c r="A203" s="27" t="n"/>
      <c r="B203" s="28" t="n"/>
      <c r="C203" s="28" t="n"/>
      <c r="D203" s="28" t="n"/>
      <c r="E203" s="29" t="n"/>
      <c r="F203" s="29" t="n"/>
      <c r="G203" s="29">
        <f>IF(AND(ISNUMBER(E203),ISNUMBER(F203)),F203-E203,"")</f>
        <v/>
      </c>
      <c r="H203" s="30" t="n">
        <v>1</v>
      </c>
      <c r="I203" s="31">
        <f>IF(AND(ISNUMBER(G203),ISNUMBER(H203)),G203*H203,"")</f>
        <v/>
      </c>
      <c r="J203" s="32">
        <f>IF(ISNUMBER(I203),I203*MileRate,"")</f>
        <v/>
      </c>
      <c r="K203" s="28" t="n"/>
    </row>
    <row r="204" ht="20" customHeight="1">
      <c r="A204" s="27" t="n"/>
      <c r="B204" s="28" t="n"/>
      <c r="C204" s="28" t="n"/>
      <c r="D204" s="28" t="n"/>
      <c r="E204" s="29" t="n"/>
      <c r="F204" s="29" t="n"/>
      <c r="G204" s="29">
        <f>IF(AND(ISNUMBER(E204),ISNUMBER(F204)),F204-E204,"")</f>
        <v/>
      </c>
      <c r="H204" s="30" t="n">
        <v>1</v>
      </c>
      <c r="I204" s="31">
        <f>IF(AND(ISNUMBER(G204),ISNUMBER(H204)),G204*H204,"")</f>
        <v/>
      </c>
      <c r="J204" s="32">
        <f>IF(ISNUMBER(I204),I204*MileRate,"")</f>
        <v/>
      </c>
      <c r="K204" s="28" t="n"/>
    </row>
    <row r="205" ht="20" customHeight="1">
      <c r="A205" s="27" t="n"/>
      <c r="B205" s="28" t="n"/>
      <c r="C205" s="28" t="n"/>
      <c r="D205" s="28" t="n"/>
      <c r="E205" s="29" t="n"/>
      <c r="F205" s="29" t="n"/>
      <c r="G205" s="29">
        <f>IF(AND(ISNUMBER(E205),ISNUMBER(F205)),F205-E205,"")</f>
        <v/>
      </c>
      <c r="H205" s="30" t="n">
        <v>1</v>
      </c>
      <c r="I205" s="31">
        <f>IF(AND(ISNUMBER(G205),ISNUMBER(H205)),G205*H205,"")</f>
        <v/>
      </c>
      <c r="J205" s="32">
        <f>IF(ISNUMBER(I205),I205*MileRate,"")</f>
        <v/>
      </c>
      <c r="K205" s="28" t="n"/>
    </row>
    <row r="206" ht="20" customHeight="1">
      <c r="A206" s="27" t="n"/>
      <c r="B206" s="28" t="n"/>
      <c r="C206" s="28" t="n"/>
      <c r="D206" s="28" t="n"/>
      <c r="E206" s="29" t="n"/>
      <c r="F206" s="29" t="n"/>
      <c r="G206" s="29">
        <f>IF(AND(ISNUMBER(E206),ISNUMBER(F206)),F206-E206,"")</f>
        <v/>
      </c>
      <c r="H206" s="30" t="n">
        <v>1</v>
      </c>
      <c r="I206" s="31">
        <f>IF(AND(ISNUMBER(G206),ISNUMBER(H206)),G206*H206,"")</f>
        <v/>
      </c>
      <c r="J206" s="32">
        <f>IF(ISNUMBER(I206),I206*MileRate,"")</f>
        <v/>
      </c>
      <c r="K206" s="28" t="n"/>
    </row>
    <row r="207" ht="20" customHeight="1">
      <c r="A207" s="27" t="n"/>
      <c r="B207" s="28" t="n"/>
      <c r="C207" s="28" t="n"/>
      <c r="D207" s="28" t="n"/>
      <c r="E207" s="29" t="n"/>
      <c r="F207" s="29" t="n"/>
      <c r="G207" s="29">
        <f>IF(AND(ISNUMBER(E207),ISNUMBER(F207)),F207-E207,"")</f>
        <v/>
      </c>
      <c r="H207" s="30" t="n">
        <v>1</v>
      </c>
      <c r="I207" s="31">
        <f>IF(AND(ISNUMBER(G207),ISNUMBER(H207)),G207*H207,"")</f>
        <v/>
      </c>
      <c r="J207" s="32">
        <f>IF(ISNUMBER(I207),I207*MileRate,"")</f>
        <v/>
      </c>
      <c r="K207" s="28" t="n"/>
    </row>
    <row r="208" ht="20" customHeight="1">
      <c r="A208" s="27" t="n"/>
      <c r="B208" s="28" t="n"/>
      <c r="C208" s="28" t="n"/>
      <c r="D208" s="28" t="n"/>
      <c r="E208" s="29" t="n"/>
      <c r="F208" s="29" t="n"/>
      <c r="G208" s="29">
        <f>IF(AND(ISNUMBER(E208),ISNUMBER(F208)),F208-E208,"")</f>
        <v/>
      </c>
      <c r="H208" s="30" t="n">
        <v>1</v>
      </c>
      <c r="I208" s="31">
        <f>IF(AND(ISNUMBER(G208),ISNUMBER(H208)),G208*H208,"")</f>
        <v/>
      </c>
      <c r="J208" s="32">
        <f>IF(ISNUMBER(I208),I208*MileRate,"")</f>
        <v/>
      </c>
      <c r="K208" s="28" t="n"/>
    </row>
    <row r="209" ht="20" customHeight="1">
      <c r="A209" s="27" t="n"/>
      <c r="B209" s="28" t="n"/>
      <c r="C209" s="28" t="n"/>
      <c r="D209" s="28" t="n"/>
      <c r="E209" s="29" t="n"/>
      <c r="F209" s="29" t="n"/>
      <c r="G209" s="29">
        <f>IF(AND(ISNUMBER(E209),ISNUMBER(F209)),F209-E209,"")</f>
        <v/>
      </c>
      <c r="H209" s="30" t="n">
        <v>1</v>
      </c>
      <c r="I209" s="31">
        <f>IF(AND(ISNUMBER(G209),ISNUMBER(H209)),G209*H209,"")</f>
        <v/>
      </c>
      <c r="J209" s="32">
        <f>IF(ISNUMBER(I209),I209*MileRate,"")</f>
        <v/>
      </c>
      <c r="K209" s="28" t="n"/>
    </row>
    <row r="210" ht="20" customHeight="1">
      <c r="A210" s="27" t="n"/>
      <c r="B210" s="28" t="n"/>
      <c r="C210" s="28" t="n"/>
      <c r="D210" s="28" t="n"/>
      <c r="E210" s="29" t="n"/>
      <c r="F210" s="29" t="n"/>
      <c r="G210" s="29">
        <f>IF(AND(ISNUMBER(E210),ISNUMBER(F210)),F210-E210,"")</f>
        <v/>
      </c>
      <c r="H210" s="30" t="n">
        <v>1</v>
      </c>
      <c r="I210" s="31">
        <f>IF(AND(ISNUMBER(G210),ISNUMBER(H210)),G210*H210,"")</f>
        <v/>
      </c>
      <c r="J210" s="32">
        <f>IF(ISNUMBER(I210),I210*MileRate,"")</f>
        <v/>
      </c>
      <c r="K210" s="28" t="n"/>
    </row>
    <row r="211" ht="20" customHeight="1">
      <c r="A211" s="27" t="n"/>
      <c r="B211" s="28" t="n"/>
      <c r="C211" s="28" t="n"/>
      <c r="D211" s="28" t="n"/>
      <c r="E211" s="29" t="n"/>
      <c r="F211" s="29" t="n"/>
      <c r="G211" s="29">
        <f>IF(AND(ISNUMBER(E211),ISNUMBER(F211)),F211-E211,"")</f>
        <v/>
      </c>
      <c r="H211" s="30" t="n">
        <v>1</v>
      </c>
      <c r="I211" s="31">
        <f>IF(AND(ISNUMBER(G211),ISNUMBER(H211)),G211*H211,"")</f>
        <v/>
      </c>
      <c r="J211" s="32">
        <f>IF(ISNUMBER(I211),I211*MileRate,"")</f>
        <v/>
      </c>
      <c r="K211" s="28" t="n"/>
    </row>
    <row r="212" ht="20" customHeight="1">
      <c r="A212" s="27" t="n"/>
      <c r="B212" s="28" t="n"/>
      <c r="C212" s="28" t="n"/>
      <c r="D212" s="28" t="n"/>
      <c r="E212" s="29" t="n"/>
      <c r="F212" s="29" t="n"/>
      <c r="G212" s="29">
        <f>IF(AND(ISNUMBER(E212),ISNUMBER(F212)),F212-E212,"")</f>
        <v/>
      </c>
      <c r="H212" s="30" t="n">
        <v>1</v>
      </c>
      <c r="I212" s="31">
        <f>IF(AND(ISNUMBER(G212),ISNUMBER(H212)),G212*H212,"")</f>
        <v/>
      </c>
      <c r="J212" s="32">
        <f>IF(ISNUMBER(I212),I212*MileRate,"")</f>
        <v/>
      </c>
      <c r="K212" s="28" t="n"/>
    </row>
    <row r="213" ht="20" customHeight="1">
      <c r="A213" s="27" t="n"/>
      <c r="B213" s="28" t="n"/>
      <c r="C213" s="28" t="n"/>
      <c r="D213" s="28" t="n"/>
      <c r="E213" s="29" t="n"/>
      <c r="F213" s="29" t="n"/>
      <c r="G213" s="29">
        <f>IF(AND(ISNUMBER(E213),ISNUMBER(F213)),F213-E213,"")</f>
        <v/>
      </c>
      <c r="H213" s="30" t="n">
        <v>1</v>
      </c>
      <c r="I213" s="31">
        <f>IF(AND(ISNUMBER(G213),ISNUMBER(H213)),G213*H213,"")</f>
        <v/>
      </c>
      <c r="J213" s="32">
        <f>IF(ISNUMBER(I213),I213*MileRate,"")</f>
        <v/>
      </c>
      <c r="K213" s="28" t="n"/>
    </row>
    <row r="214" ht="20" customHeight="1">
      <c r="A214" s="27" t="n"/>
      <c r="B214" s="28" t="n"/>
      <c r="C214" s="28" t="n"/>
      <c r="D214" s="28" t="n"/>
      <c r="E214" s="29" t="n"/>
      <c r="F214" s="29" t="n"/>
      <c r="G214" s="29">
        <f>IF(AND(ISNUMBER(E214),ISNUMBER(F214)),F214-E214,"")</f>
        <v/>
      </c>
      <c r="H214" s="30" t="n">
        <v>1</v>
      </c>
      <c r="I214" s="31">
        <f>IF(AND(ISNUMBER(G214),ISNUMBER(H214)),G214*H214,"")</f>
        <v/>
      </c>
      <c r="J214" s="32">
        <f>IF(ISNUMBER(I214),I214*MileRate,"")</f>
        <v/>
      </c>
      <c r="K214" s="28" t="n"/>
    </row>
    <row r="215" ht="20" customHeight="1">
      <c r="A215" s="27" t="n"/>
      <c r="B215" s="28" t="n"/>
      <c r="C215" s="28" t="n"/>
      <c r="D215" s="28" t="n"/>
      <c r="E215" s="29" t="n"/>
      <c r="F215" s="29" t="n"/>
      <c r="G215" s="29">
        <f>IF(AND(ISNUMBER(E215),ISNUMBER(F215)),F215-E215,"")</f>
        <v/>
      </c>
      <c r="H215" s="30" t="n">
        <v>1</v>
      </c>
      <c r="I215" s="31">
        <f>IF(AND(ISNUMBER(G215),ISNUMBER(H215)),G215*H215,"")</f>
        <v/>
      </c>
      <c r="J215" s="32">
        <f>IF(ISNUMBER(I215),I215*MileRate,"")</f>
        <v/>
      </c>
      <c r="K215" s="28" t="n"/>
    </row>
    <row r="216" ht="20" customHeight="1">
      <c r="A216" s="27" t="n"/>
      <c r="B216" s="28" t="n"/>
      <c r="C216" s="28" t="n"/>
      <c r="D216" s="28" t="n"/>
      <c r="E216" s="29" t="n"/>
      <c r="F216" s="29" t="n"/>
      <c r="G216" s="29">
        <f>IF(AND(ISNUMBER(E216),ISNUMBER(F216)),F216-E216,"")</f>
        <v/>
      </c>
      <c r="H216" s="30" t="n">
        <v>1</v>
      </c>
      <c r="I216" s="31">
        <f>IF(AND(ISNUMBER(G216),ISNUMBER(H216)),G216*H216,"")</f>
        <v/>
      </c>
      <c r="J216" s="32">
        <f>IF(ISNUMBER(I216),I216*MileRate,"")</f>
        <v/>
      </c>
      <c r="K216" s="28" t="n"/>
    </row>
    <row r="217" ht="20" customHeight="1">
      <c r="A217" s="27" t="n"/>
      <c r="B217" s="28" t="n"/>
      <c r="C217" s="28" t="n"/>
      <c r="D217" s="28" t="n"/>
      <c r="E217" s="29" t="n"/>
      <c r="F217" s="29" t="n"/>
      <c r="G217" s="29">
        <f>IF(AND(ISNUMBER(E217),ISNUMBER(F217)),F217-E217,"")</f>
        <v/>
      </c>
      <c r="H217" s="30" t="n">
        <v>1</v>
      </c>
      <c r="I217" s="31">
        <f>IF(AND(ISNUMBER(G217),ISNUMBER(H217)),G217*H217,"")</f>
        <v/>
      </c>
      <c r="J217" s="32">
        <f>IF(ISNUMBER(I217),I217*MileRate,"")</f>
        <v/>
      </c>
      <c r="K217" s="28" t="n"/>
    </row>
    <row r="218" ht="20" customHeight="1">
      <c r="A218" s="27" t="n"/>
      <c r="B218" s="28" t="n"/>
      <c r="C218" s="28" t="n"/>
      <c r="D218" s="28" t="n"/>
      <c r="E218" s="29" t="n"/>
      <c r="F218" s="29" t="n"/>
      <c r="G218" s="29">
        <f>IF(AND(ISNUMBER(E218),ISNUMBER(F218)),F218-E218,"")</f>
        <v/>
      </c>
      <c r="H218" s="30" t="n">
        <v>1</v>
      </c>
      <c r="I218" s="31">
        <f>IF(AND(ISNUMBER(G218),ISNUMBER(H218)),G218*H218,"")</f>
        <v/>
      </c>
      <c r="J218" s="32">
        <f>IF(ISNUMBER(I218),I218*MileRate,"")</f>
        <v/>
      </c>
      <c r="K218" s="28" t="n"/>
    </row>
    <row r="219" ht="20" customHeight="1">
      <c r="A219" s="27" t="n"/>
      <c r="B219" s="28" t="n"/>
      <c r="C219" s="28" t="n"/>
      <c r="D219" s="28" t="n"/>
      <c r="E219" s="29" t="n"/>
      <c r="F219" s="29" t="n"/>
      <c r="G219" s="29">
        <f>IF(AND(ISNUMBER(E219),ISNUMBER(F219)),F219-E219,"")</f>
        <v/>
      </c>
      <c r="H219" s="30" t="n">
        <v>1</v>
      </c>
      <c r="I219" s="31">
        <f>IF(AND(ISNUMBER(G219),ISNUMBER(H219)),G219*H219,"")</f>
        <v/>
      </c>
      <c r="J219" s="32">
        <f>IF(ISNUMBER(I219),I219*MileRate,"")</f>
        <v/>
      </c>
      <c r="K219" s="28" t="n"/>
    </row>
    <row r="220" ht="20" customHeight="1">
      <c r="A220" s="27" t="n"/>
      <c r="B220" s="28" t="n"/>
      <c r="C220" s="28" t="n"/>
      <c r="D220" s="28" t="n"/>
      <c r="E220" s="29" t="n"/>
      <c r="F220" s="29" t="n"/>
      <c r="G220" s="29">
        <f>IF(AND(ISNUMBER(E220),ISNUMBER(F220)),F220-E220,"")</f>
        <v/>
      </c>
      <c r="H220" s="30" t="n">
        <v>1</v>
      </c>
      <c r="I220" s="31">
        <f>IF(AND(ISNUMBER(G220),ISNUMBER(H220)),G220*H220,"")</f>
        <v/>
      </c>
      <c r="J220" s="32">
        <f>IF(ISNUMBER(I220),I220*MileRate,"")</f>
        <v/>
      </c>
      <c r="K220" s="28" t="n"/>
    </row>
    <row r="221" ht="20" customHeight="1">
      <c r="A221" s="27" t="n"/>
      <c r="B221" s="28" t="n"/>
      <c r="C221" s="28" t="n"/>
      <c r="D221" s="28" t="n"/>
      <c r="E221" s="29" t="n"/>
      <c r="F221" s="29" t="n"/>
      <c r="G221" s="29">
        <f>IF(AND(ISNUMBER(E221),ISNUMBER(F221)),F221-E221,"")</f>
        <v/>
      </c>
      <c r="H221" s="30" t="n">
        <v>1</v>
      </c>
      <c r="I221" s="31">
        <f>IF(AND(ISNUMBER(G221),ISNUMBER(H221)),G221*H221,"")</f>
        <v/>
      </c>
      <c r="J221" s="32">
        <f>IF(ISNUMBER(I221),I221*MileRate,"")</f>
        <v/>
      </c>
      <c r="K221" s="28" t="n"/>
    </row>
    <row r="222" ht="20" customHeight="1">
      <c r="A222" s="27" t="n"/>
      <c r="B222" s="28" t="n"/>
      <c r="C222" s="28" t="n"/>
      <c r="D222" s="28" t="n"/>
      <c r="E222" s="29" t="n"/>
      <c r="F222" s="29" t="n"/>
      <c r="G222" s="29">
        <f>IF(AND(ISNUMBER(E222),ISNUMBER(F222)),F222-E222,"")</f>
        <v/>
      </c>
      <c r="H222" s="30" t="n">
        <v>1</v>
      </c>
      <c r="I222" s="31">
        <f>IF(AND(ISNUMBER(G222),ISNUMBER(H222)),G222*H222,"")</f>
        <v/>
      </c>
      <c r="J222" s="32">
        <f>IF(ISNUMBER(I222),I222*MileRate,"")</f>
        <v/>
      </c>
      <c r="K222" s="28" t="n"/>
    </row>
    <row r="223" ht="20" customHeight="1">
      <c r="A223" s="27" t="n"/>
      <c r="B223" s="28" t="n"/>
      <c r="C223" s="28" t="n"/>
      <c r="D223" s="28" t="n"/>
      <c r="E223" s="29" t="n"/>
      <c r="F223" s="29" t="n"/>
      <c r="G223" s="29">
        <f>IF(AND(ISNUMBER(E223),ISNUMBER(F223)),F223-E223,"")</f>
        <v/>
      </c>
      <c r="H223" s="30" t="n">
        <v>1</v>
      </c>
      <c r="I223" s="31">
        <f>IF(AND(ISNUMBER(G223),ISNUMBER(H223)),G223*H223,"")</f>
        <v/>
      </c>
      <c r="J223" s="32">
        <f>IF(ISNUMBER(I223),I223*MileRate,"")</f>
        <v/>
      </c>
      <c r="K223" s="28" t="n"/>
    </row>
    <row r="224" ht="20" customHeight="1">
      <c r="A224" s="27" t="n"/>
      <c r="B224" s="28" t="n"/>
      <c r="C224" s="28" t="n"/>
      <c r="D224" s="28" t="n"/>
      <c r="E224" s="29" t="n"/>
      <c r="F224" s="29" t="n"/>
      <c r="G224" s="29">
        <f>IF(AND(ISNUMBER(E224),ISNUMBER(F224)),F224-E224,"")</f>
        <v/>
      </c>
      <c r="H224" s="30" t="n">
        <v>1</v>
      </c>
      <c r="I224" s="31">
        <f>IF(AND(ISNUMBER(G224),ISNUMBER(H224)),G224*H224,"")</f>
        <v/>
      </c>
      <c r="J224" s="32">
        <f>IF(ISNUMBER(I224),I224*MileRate,"")</f>
        <v/>
      </c>
      <c r="K224" s="28" t="n"/>
    </row>
    <row r="225" ht="20" customHeight="1">
      <c r="A225" s="27" t="n"/>
      <c r="B225" s="28" t="n"/>
      <c r="C225" s="28" t="n"/>
      <c r="D225" s="28" t="n"/>
      <c r="E225" s="29" t="n"/>
      <c r="F225" s="29" t="n"/>
      <c r="G225" s="29">
        <f>IF(AND(ISNUMBER(E225),ISNUMBER(F225)),F225-E225,"")</f>
        <v/>
      </c>
      <c r="H225" s="30" t="n">
        <v>1</v>
      </c>
      <c r="I225" s="31">
        <f>IF(AND(ISNUMBER(G225),ISNUMBER(H225)),G225*H225,"")</f>
        <v/>
      </c>
      <c r="J225" s="32">
        <f>IF(ISNUMBER(I225),I225*MileRate,"")</f>
        <v/>
      </c>
      <c r="K225" s="28" t="n"/>
    </row>
    <row r="226" ht="20" customHeight="1">
      <c r="A226" s="27" t="n"/>
      <c r="B226" s="28" t="n"/>
      <c r="C226" s="28" t="n"/>
      <c r="D226" s="28" t="n"/>
      <c r="E226" s="29" t="n"/>
      <c r="F226" s="29" t="n"/>
      <c r="G226" s="29">
        <f>IF(AND(ISNUMBER(E226),ISNUMBER(F226)),F226-E226,"")</f>
        <v/>
      </c>
      <c r="H226" s="30" t="n">
        <v>1</v>
      </c>
      <c r="I226" s="31">
        <f>IF(AND(ISNUMBER(G226),ISNUMBER(H226)),G226*H226,"")</f>
        <v/>
      </c>
      <c r="J226" s="32">
        <f>IF(ISNUMBER(I226),I226*MileRate,"")</f>
        <v/>
      </c>
      <c r="K226" s="28" t="n"/>
    </row>
    <row r="227" ht="20" customHeight="1">
      <c r="A227" s="27" t="n"/>
      <c r="B227" s="28" t="n"/>
      <c r="C227" s="28" t="n"/>
      <c r="D227" s="28" t="n"/>
      <c r="E227" s="29" t="n"/>
      <c r="F227" s="29" t="n"/>
      <c r="G227" s="29">
        <f>IF(AND(ISNUMBER(E227),ISNUMBER(F227)),F227-E227,"")</f>
        <v/>
      </c>
      <c r="H227" s="30" t="n">
        <v>1</v>
      </c>
      <c r="I227" s="31">
        <f>IF(AND(ISNUMBER(G227),ISNUMBER(H227)),G227*H227,"")</f>
        <v/>
      </c>
      <c r="J227" s="32">
        <f>IF(ISNUMBER(I227),I227*MileRate,"")</f>
        <v/>
      </c>
      <c r="K227" s="28" t="n"/>
    </row>
    <row r="228" ht="20" customHeight="1">
      <c r="A228" s="27" t="n"/>
      <c r="B228" s="28" t="n"/>
      <c r="C228" s="28" t="n"/>
      <c r="D228" s="28" t="n"/>
      <c r="E228" s="29" t="n"/>
      <c r="F228" s="29" t="n"/>
      <c r="G228" s="29">
        <f>IF(AND(ISNUMBER(E228),ISNUMBER(F228)),F228-E228,"")</f>
        <v/>
      </c>
      <c r="H228" s="30" t="n">
        <v>1</v>
      </c>
      <c r="I228" s="31">
        <f>IF(AND(ISNUMBER(G228),ISNUMBER(H228)),G228*H228,"")</f>
        <v/>
      </c>
      <c r="J228" s="32">
        <f>IF(ISNUMBER(I228),I228*MileRate,"")</f>
        <v/>
      </c>
      <c r="K228" s="28" t="n"/>
    </row>
    <row r="229" ht="20" customHeight="1">
      <c r="A229" s="27" t="n"/>
      <c r="B229" s="28" t="n"/>
      <c r="C229" s="28" t="n"/>
      <c r="D229" s="28" t="n"/>
      <c r="E229" s="29" t="n"/>
      <c r="F229" s="29" t="n"/>
      <c r="G229" s="29">
        <f>IF(AND(ISNUMBER(E229),ISNUMBER(F229)),F229-E229,"")</f>
        <v/>
      </c>
      <c r="H229" s="30" t="n">
        <v>1</v>
      </c>
      <c r="I229" s="31">
        <f>IF(AND(ISNUMBER(G229),ISNUMBER(H229)),G229*H229,"")</f>
        <v/>
      </c>
      <c r="J229" s="32">
        <f>IF(ISNUMBER(I229),I229*MileRate,"")</f>
        <v/>
      </c>
      <c r="K229" s="28" t="n"/>
    </row>
    <row r="230" ht="20" customHeight="1">
      <c r="A230" s="27" t="n"/>
      <c r="B230" s="28" t="n"/>
      <c r="C230" s="28" t="n"/>
      <c r="D230" s="28" t="n"/>
      <c r="E230" s="29" t="n"/>
      <c r="F230" s="29" t="n"/>
      <c r="G230" s="29">
        <f>IF(AND(ISNUMBER(E230),ISNUMBER(F230)),F230-E230,"")</f>
        <v/>
      </c>
      <c r="H230" s="30" t="n">
        <v>1</v>
      </c>
      <c r="I230" s="31">
        <f>IF(AND(ISNUMBER(G230),ISNUMBER(H230)),G230*H230,"")</f>
        <v/>
      </c>
      <c r="J230" s="32">
        <f>IF(ISNUMBER(I230),I230*MileRate,"")</f>
        <v/>
      </c>
      <c r="K230" s="28" t="n"/>
    </row>
    <row r="231" ht="20" customHeight="1">
      <c r="A231" s="27" t="n"/>
      <c r="B231" s="28" t="n"/>
      <c r="C231" s="28" t="n"/>
      <c r="D231" s="28" t="n"/>
      <c r="E231" s="29" t="n"/>
      <c r="F231" s="29" t="n"/>
      <c r="G231" s="29">
        <f>IF(AND(ISNUMBER(E231),ISNUMBER(F231)),F231-E231,"")</f>
        <v/>
      </c>
      <c r="H231" s="30" t="n">
        <v>1</v>
      </c>
      <c r="I231" s="31">
        <f>IF(AND(ISNUMBER(G231),ISNUMBER(H231)),G231*H231,"")</f>
        <v/>
      </c>
      <c r="J231" s="32">
        <f>IF(ISNUMBER(I231),I231*MileRate,"")</f>
        <v/>
      </c>
      <c r="K231" s="28" t="n"/>
    </row>
    <row r="232" ht="20" customHeight="1">
      <c r="A232" s="27" t="n"/>
      <c r="B232" s="28" t="n"/>
      <c r="C232" s="28" t="n"/>
      <c r="D232" s="28" t="n"/>
      <c r="E232" s="29" t="n"/>
      <c r="F232" s="29" t="n"/>
      <c r="G232" s="29">
        <f>IF(AND(ISNUMBER(E232),ISNUMBER(F232)),F232-E232,"")</f>
        <v/>
      </c>
      <c r="H232" s="30" t="n">
        <v>1</v>
      </c>
      <c r="I232" s="31">
        <f>IF(AND(ISNUMBER(G232),ISNUMBER(H232)),G232*H232,"")</f>
        <v/>
      </c>
      <c r="J232" s="32">
        <f>IF(ISNUMBER(I232),I232*MileRate,"")</f>
        <v/>
      </c>
      <c r="K232" s="28" t="n"/>
    </row>
    <row r="233" ht="20" customHeight="1">
      <c r="A233" s="27" t="n"/>
      <c r="B233" s="28" t="n"/>
      <c r="C233" s="28" t="n"/>
      <c r="D233" s="28" t="n"/>
      <c r="E233" s="29" t="n"/>
      <c r="F233" s="29" t="n"/>
      <c r="G233" s="29">
        <f>IF(AND(ISNUMBER(E233),ISNUMBER(F233)),F233-E233,"")</f>
        <v/>
      </c>
      <c r="H233" s="30" t="n">
        <v>1</v>
      </c>
      <c r="I233" s="31">
        <f>IF(AND(ISNUMBER(G233),ISNUMBER(H233)),G233*H233,"")</f>
        <v/>
      </c>
      <c r="J233" s="32">
        <f>IF(ISNUMBER(I233),I233*MileRate,"")</f>
        <v/>
      </c>
      <c r="K233" s="28" t="n"/>
    </row>
    <row r="234" ht="20" customHeight="1">
      <c r="A234" s="27" t="n"/>
      <c r="B234" s="28" t="n"/>
      <c r="C234" s="28" t="n"/>
      <c r="D234" s="28" t="n"/>
      <c r="E234" s="29" t="n"/>
      <c r="F234" s="29" t="n"/>
      <c r="G234" s="29">
        <f>IF(AND(ISNUMBER(E234),ISNUMBER(F234)),F234-E234,"")</f>
        <v/>
      </c>
      <c r="H234" s="30" t="n">
        <v>1</v>
      </c>
      <c r="I234" s="31">
        <f>IF(AND(ISNUMBER(G234),ISNUMBER(H234)),G234*H234,"")</f>
        <v/>
      </c>
      <c r="J234" s="32">
        <f>IF(ISNUMBER(I234),I234*MileRate,"")</f>
        <v/>
      </c>
      <c r="K234" s="28" t="n"/>
    </row>
    <row r="235" ht="20" customHeight="1">
      <c r="A235" s="27" t="n"/>
      <c r="B235" s="28" t="n"/>
      <c r="C235" s="28" t="n"/>
      <c r="D235" s="28" t="n"/>
      <c r="E235" s="29" t="n"/>
      <c r="F235" s="29" t="n"/>
      <c r="G235" s="29">
        <f>IF(AND(ISNUMBER(E235),ISNUMBER(F235)),F235-E235,"")</f>
        <v/>
      </c>
      <c r="H235" s="30" t="n">
        <v>1</v>
      </c>
      <c r="I235" s="31">
        <f>IF(AND(ISNUMBER(G235),ISNUMBER(H235)),G235*H235,"")</f>
        <v/>
      </c>
      <c r="J235" s="32">
        <f>IF(ISNUMBER(I235),I235*MileRate,"")</f>
        <v/>
      </c>
      <c r="K235" s="28" t="n"/>
    </row>
    <row r="236" ht="20" customHeight="1">
      <c r="A236" s="27" t="n"/>
      <c r="B236" s="28" t="n"/>
      <c r="C236" s="28" t="n"/>
      <c r="D236" s="28" t="n"/>
      <c r="E236" s="29" t="n"/>
      <c r="F236" s="29" t="n"/>
      <c r="G236" s="29">
        <f>IF(AND(ISNUMBER(E236),ISNUMBER(F236)),F236-E236,"")</f>
        <v/>
      </c>
      <c r="H236" s="30" t="n">
        <v>1</v>
      </c>
      <c r="I236" s="31">
        <f>IF(AND(ISNUMBER(G236),ISNUMBER(H236)),G236*H236,"")</f>
        <v/>
      </c>
      <c r="J236" s="32">
        <f>IF(ISNUMBER(I236),I236*MileRate,"")</f>
        <v/>
      </c>
      <c r="K236" s="28" t="n"/>
    </row>
    <row r="237" ht="20" customHeight="1">
      <c r="A237" s="27" t="n"/>
      <c r="B237" s="28" t="n"/>
      <c r="C237" s="28" t="n"/>
      <c r="D237" s="28" t="n"/>
      <c r="E237" s="29" t="n"/>
      <c r="F237" s="29" t="n"/>
      <c r="G237" s="29">
        <f>IF(AND(ISNUMBER(E237),ISNUMBER(F237)),F237-E237,"")</f>
        <v/>
      </c>
      <c r="H237" s="30" t="n">
        <v>1</v>
      </c>
      <c r="I237" s="31">
        <f>IF(AND(ISNUMBER(G237),ISNUMBER(H237)),G237*H237,"")</f>
        <v/>
      </c>
      <c r="J237" s="32">
        <f>IF(ISNUMBER(I237),I237*MileRate,"")</f>
        <v/>
      </c>
      <c r="K237" s="28" t="n"/>
    </row>
    <row r="238" ht="20" customHeight="1">
      <c r="A238" s="27" t="n"/>
      <c r="B238" s="28" t="n"/>
      <c r="C238" s="28" t="n"/>
      <c r="D238" s="28" t="n"/>
      <c r="E238" s="29" t="n"/>
      <c r="F238" s="29" t="n"/>
      <c r="G238" s="29">
        <f>IF(AND(ISNUMBER(E238),ISNUMBER(F238)),F238-E238,"")</f>
        <v/>
      </c>
      <c r="H238" s="30" t="n">
        <v>1</v>
      </c>
      <c r="I238" s="31">
        <f>IF(AND(ISNUMBER(G238),ISNUMBER(H238)),G238*H238,"")</f>
        <v/>
      </c>
      <c r="J238" s="32">
        <f>IF(ISNUMBER(I238),I238*MileRate,"")</f>
        <v/>
      </c>
      <c r="K238" s="28" t="n"/>
    </row>
    <row r="239" ht="20" customHeight="1">
      <c r="A239" s="27" t="n"/>
      <c r="B239" s="28" t="n"/>
      <c r="C239" s="28" t="n"/>
      <c r="D239" s="28" t="n"/>
      <c r="E239" s="29" t="n"/>
      <c r="F239" s="29" t="n"/>
      <c r="G239" s="29">
        <f>IF(AND(ISNUMBER(E239),ISNUMBER(F239)),F239-E239,"")</f>
        <v/>
      </c>
      <c r="H239" s="30" t="n">
        <v>1</v>
      </c>
      <c r="I239" s="31">
        <f>IF(AND(ISNUMBER(G239),ISNUMBER(H239)),G239*H239,"")</f>
        <v/>
      </c>
      <c r="J239" s="32">
        <f>IF(ISNUMBER(I239),I239*MileRate,"")</f>
        <v/>
      </c>
      <c r="K239" s="28" t="n"/>
    </row>
    <row r="240" ht="20" customHeight="1">
      <c r="A240" s="27" t="n"/>
      <c r="B240" s="28" t="n"/>
      <c r="C240" s="28" t="n"/>
      <c r="D240" s="28" t="n"/>
      <c r="E240" s="29" t="n"/>
      <c r="F240" s="29" t="n"/>
      <c r="G240" s="29">
        <f>IF(AND(ISNUMBER(E240),ISNUMBER(F240)),F240-E240,"")</f>
        <v/>
      </c>
      <c r="H240" s="30" t="n">
        <v>1</v>
      </c>
      <c r="I240" s="31">
        <f>IF(AND(ISNUMBER(G240),ISNUMBER(H240)),G240*H240,"")</f>
        <v/>
      </c>
      <c r="J240" s="32">
        <f>IF(ISNUMBER(I240),I240*MileRate,"")</f>
        <v/>
      </c>
      <c r="K240" s="28" t="n"/>
    </row>
    <row r="241" ht="20" customHeight="1">
      <c r="A241" s="27" t="n"/>
      <c r="B241" s="28" t="n"/>
      <c r="C241" s="28" t="n"/>
      <c r="D241" s="28" t="n"/>
      <c r="E241" s="29" t="n"/>
      <c r="F241" s="29" t="n"/>
      <c r="G241" s="29">
        <f>IF(AND(ISNUMBER(E241),ISNUMBER(F241)),F241-E241,"")</f>
        <v/>
      </c>
      <c r="H241" s="30" t="n">
        <v>1</v>
      </c>
      <c r="I241" s="31">
        <f>IF(AND(ISNUMBER(G241),ISNUMBER(H241)),G241*H241,"")</f>
        <v/>
      </c>
      <c r="J241" s="32">
        <f>IF(ISNUMBER(I241),I241*MileRate,"")</f>
        <v/>
      </c>
      <c r="K241" s="28" t="n"/>
    </row>
    <row r="242" ht="20" customHeight="1">
      <c r="A242" s="27" t="n"/>
      <c r="B242" s="28" t="n"/>
      <c r="C242" s="28" t="n"/>
      <c r="D242" s="28" t="n"/>
      <c r="E242" s="29" t="n"/>
      <c r="F242" s="29" t="n"/>
      <c r="G242" s="29">
        <f>IF(AND(ISNUMBER(E242),ISNUMBER(F242)),F242-E242,"")</f>
        <v/>
      </c>
      <c r="H242" s="30" t="n">
        <v>1</v>
      </c>
      <c r="I242" s="31">
        <f>IF(AND(ISNUMBER(G242),ISNUMBER(H242)),G242*H242,"")</f>
        <v/>
      </c>
      <c r="J242" s="32">
        <f>IF(ISNUMBER(I242),I242*MileRate,"")</f>
        <v/>
      </c>
      <c r="K242" s="28" t="n"/>
    </row>
    <row r="243" ht="20" customHeight="1">
      <c r="A243" s="27" t="n"/>
      <c r="B243" s="28" t="n"/>
      <c r="C243" s="28" t="n"/>
      <c r="D243" s="28" t="n"/>
      <c r="E243" s="29" t="n"/>
      <c r="F243" s="29" t="n"/>
      <c r="G243" s="29">
        <f>IF(AND(ISNUMBER(E243),ISNUMBER(F243)),F243-E243,"")</f>
        <v/>
      </c>
      <c r="H243" s="30" t="n">
        <v>1</v>
      </c>
      <c r="I243" s="31">
        <f>IF(AND(ISNUMBER(G243),ISNUMBER(H243)),G243*H243,"")</f>
        <v/>
      </c>
      <c r="J243" s="32">
        <f>IF(ISNUMBER(I243),I243*MileRate,"")</f>
        <v/>
      </c>
      <c r="K243" s="28" t="n"/>
    </row>
    <row r="244" ht="20" customHeight="1">
      <c r="A244" s="27" t="n"/>
      <c r="B244" s="28" t="n"/>
      <c r="C244" s="28" t="n"/>
      <c r="D244" s="28" t="n"/>
      <c r="E244" s="29" t="n"/>
      <c r="F244" s="29" t="n"/>
      <c r="G244" s="29">
        <f>IF(AND(ISNUMBER(E244),ISNUMBER(F244)),F244-E244,"")</f>
        <v/>
      </c>
      <c r="H244" s="30" t="n">
        <v>1</v>
      </c>
      <c r="I244" s="31">
        <f>IF(AND(ISNUMBER(G244),ISNUMBER(H244)),G244*H244,"")</f>
        <v/>
      </c>
      <c r="J244" s="32">
        <f>IF(ISNUMBER(I244),I244*MileRate,"")</f>
        <v/>
      </c>
      <c r="K244" s="28" t="n"/>
    </row>
    <row r="245" ht="20" customHeight="1">
      <c r="A245" s="27" t="n"/>
      <c r="B245" s="28" t="n"/>
      <c r="C245" s="28" t="n"/>
      <c r="D245" s="28" t="n"/>
      <c r="E245" s="29" t="n"/>
      <c r="F245" s="29" t="n"/>
      <c r="G245" s="29">
        <f>IF(AND(ISNUMBER(E245),ISNUMBER(F245)),F245-E245,"")</f>
        <v/>
      </c>
      <c r="H245" s="30" t="n">
        <v>1</v>
      </c>
      <c r="I245" s="31">
        <f>IF(AND(ISNUMBER(G245),ISNUMBER(H245)),G245*H245,"")</f>
        <v/>
      </c>
      <c r="J245" s="32">
        <f>IF(ISNUMBER(I245),I245*MileRate,"")</f>
        <v/>
      </c>
      <c r="K245" s="28" t="n"/>
    </row>
    <row r="246" ht="20" customHeight="1">
      <c r="A246" s="27" t="n"/>
      <c r="B246" s="28" t="n"/>
      <c r="C246" s="28" t="n"/>
      <c r="D246" s="28" t="n"/>
      <c r="E246" s="29" t="n"/>
      <c r="F246" s="29" t="n"/>
      <c r="G246" s="29">
        <f>IF(AND(ISNUMBER(E246),ISNUMBER(F246)),F246-E246,"")</f>
        <v/>
      </c>
      <c r="H246" s="30" t="n">
        <v>1</v>
      </c>
      <c r="I246" s="31">
        <f>IF(AND(ISNUMBER(G246),ISNUMBER(H246)),G246*H246,"")</f>
        <v/>
      </c>
      <c r="J246" s="32">
        <f>IF(ISNUMBER(I246),I246*MileRate,"")</f>
        <v/>
      </c>
      <c r="K246" s="28" t="n"/>
    </row>
    <row r="247" ht="20" customHeight="1">
      <c r="A247" s="27" t="n"/>
      <c r="B247" s="28" t="n"/>
      <c r="C247" s="28" t="n"/>
      <c r="D247" s="28" t="n"/>
      <c r="E247" s="29" t="n"/>
      <c r="F247" s="29" t="n"/>
      <c r="G247" s="29">
        <f>IF(AND(ISNUMBER(E247),ISNUMBER(F247)),F247-E247,"")</f>
        <v/>
      </c>
      <c r="H247" s="30" t="n">
        <v>1</v>
      </c>
      <c r="I247" s="31">
        <f>IF(AND(ISNUMBER(G247),ISNUMBER(H247)),G247*H247,"")</f>
        <v/>
      </c>
      <c r="J247" s="32">
        <f>IF(ISNUMBER(I247),I247*MileRate,"")</f>
        <v/>
      </c>
      <c r="K247" s="28" t="n"/>
    </row>
    <row r="248" ht="20" customHeight="1">
      <c r="A248" s="27" t="n"/>
      <c r="B248" s="28" t="n"/>
      <c r="C248" s="28" t="n"/>
      <c r="D248" s="28" t="n"/>
      <c r="E248" s="29" t="n"/>
      <c r="F248" s="29" t="n"/>
      <c r="G248" s="29">
        <f>IF(AND(ISNUMBER(E248),ISNUMBER(F248)),F248-E248,"")</f>
        <v/>
      </c>
      <c r="H248" s="30" t="n">
        <v>1</v>
      </c>
      <c r="I248" s="31">
        <f>IF(AND(ISNUMBER(G248),ISNUMBER(H248)),G248*H248,"")</f>
        <v/>
      </c>
      <c r="J248" s="32">
        <f>IF(ISNUMBER(I248),I248*MileRate,"")</f>
        <v/>
      </c>
      <c r="K248" s="28" t="n"/>
    </row>
    <row r="249" ht="20" customHeight="1">
      <c r="A249" s="27" t="n"/>
      <c r="B249" s="28" t="n"/>
      <c r="C249" s="28" t="n"/>
      <c r="D249" s="28" t="n"/>
      <c r="E249" s="29" t="n"/>
      <c r="F249" s="29" t="n"/>
      <c r="G249" s="29">
        <f>IF(AND(ISNUMBER(E249),ISNUMBER(F249)),F249-E249,"")</f>
        <v/>
      </c>
      <c r="H249" s="30" t="n">
        <v>1</v>
      </c>
      <c r="I249" s="31">
        <f>IF(AND(ISNUMBER(G249),ISNUMBER(H249)),G249*H249,"")</f>
        <v/>
      </c>
      <c r="J249" s="32">
        <f>IF(ISNUMBER(I249),I249*MileRate,"")</f>
        <v/>
      </c>
      <c r="K249" s="28" t="n"/>
    </row>
    <row r="250" ht="20" customHeight="1">
      <c r="A250" s="27" t="n"/>
      <c r="B250" s="28" t="n"/>
      <c r="C250" s="28" t="n"/>
      <c r="D250" s="28" t="n"/>
      <c r="E250" s="29" t="n"/>
      <c r="F250" s="29" t="n"/>
      <c r="G250" s="29">
        <f>IF(AND(ISNUMBER(E250),ISNUMBER(F250)),F250-E250,"")</f>
        <v/>
      </c>
      <c r="H250" s="30" t="n">
        <v>1</v>
      </c>
      <c r="I250" s="31">
        <f>IF(AND(ISNUMBER(G250),ISNUMBER(H250)),G250*H250,"")</f>
        <v/>
      </c>
      <c r="J250" s="32">
        <f>IF(ISNUMBER(I250),I250*MileRate,"")</f>
        <v/>
      </c>
      <c r="K250" s="28" t="n"/>
    </row>
    <row r="251" ht="20" customHeight="1">
      <c r="A251" s="27" t="n"/>
      <c r="B251" s="28" t="n"/>
      <c r="C251" s="28" t="n"/>
      <c r="D251" s="28" t="n"/>
      <c r="E251" s="29" t="n"/>
      <c r="F251" s="29" t="n"/>
      <c r="G251" s="29">
        <f>IF(AND(ISNUMBER(E251),ISNUMBER(F251)),F251-E251,"")</f>
        <v/>
      </c>
      <c r="H251" s="30" t="n">
        <v>1</v>
      </c>
      <c r="I251" s="31">
        <f>IF(AND(ISNUMBER(G251),ISNUMBER(H251)),G251*H251,"")</f>
        <v/>
      </c>
      <c r="J251" s="32">
        <f>IF(ISNUMBER(I251),I251*MileRate,"")</f>
        <v/>
      </c>
      <c r="K251" s="28" t="n"/>
    </row>
    <row r="252" ht="20" customHeight="1">
      <c r="A252" s="27" t="n"/>
      <c r="B252" s="28" t="n"/>
      <c r="C252" s="28" t="n"/>
      <c r="D252" s="28" t="n"/>
      <c r="E252" s="29" t="n"/>
      <c r="F252" s="29" t="n"/>
      <c r="G252" s="29">
        <f>IF(AND(ISNUMBER(E252),ISNUMBER(F252)),F252-E252,"")</f>
        <v/>
      </c>
      <c r="H252" s="30" t="n">
        <v>1</v>
      </c>
      <c r="I252" s="31">
        <f>IF(AND(ISNUMBER(G252),ISNUMBER(H252)),G252*H252,"")</f>
        <v/>
      </c>
      <c r="J252" s="32">
        <f>IF(ISNUMBER(I252),I252*MileRate,"")</f>
        <v/>
      </c>
      <c r="K252" s="28" t="n"/>
    </row>
    <row r="253" ht="20" customHeight="1">
      <c r="A253" s="27" t="n"/>
      <c r="B253" s="28" t="n"/>
      <c r="C253" s="28" t="n"/>
      <c r="D253" s="28" t="n"/>
      <c r="E253" s="29" t="n"/>
      <c r="F253" s="29" t="n"/>
      <c r="G253" s="29">
        <f>IF(AND(ISNUMBER(E253),ISNUMBER(F253)),F253-E253,"")</f>
        <v/>
      </c>
      <c r="H253" s="30" t="n">
        <v>1</v>
      </c>
      <c r="I253" s="31">
        <f>IF(AND(ISNUMBER(G253),ISNUMBER(H253)),G253*H253,"")</f>
        <v/>
      </c>
      <c r="J253" s="32">
        <f>IF(ISNUMBER(I253),I253*MileRate,"")</f>
        <v/>
      </c>
      <c r="K253" s="28" t="n"/>
    </row>
    <row r="254" ht="20" customHeight="1">
      <c r="A254" s="27" t="n"/>
      <c r="B254" s="28" t="n"/>
      <c r="C254" s="28" t="n"/>
      <c r="D254" s="28" t="n"/>
      <c r="E254" s="29" t="n"/>
      <c r="F254" s="29" t="n"/>
      <c r="G254" s="29">
        <f>IF(AND(ISNUMBER(E254),ISNUMBER(F254)),F254-E254,"")</f>
        <v/>
      </c>
      <c r="H254" s="30" t="n">
        <v>1</v>
      </c>
      <c r="I254" s="31">
        <f>IF(AND(ISNUMBER(G254),ISNUMBER(H254)),G254*H254,"")</f>
        <v/>
      </c>
      <c r="J254" s="32">
        <f>IF(ISNUMBER(I254),I254*MileRate,"")</f>
        <v/>
      </c>
      <c r="K254" s="28" t="n"/>
    </row>
    <row r="255" ht="20" customHeight="1">
      <c r="A255" s="27" t="n"/>
      <c r="B255" s="28" t="n"/>
      <c r="C255" s="28" t="n"/>
      <c r="D255" s="28" t="n"/>
      <c r="E255" s="29" t="n"/>
      <c r="F255" s="29" t="n"/>
      <c r="G255" s="29">
        <f>IF(AND(ISNUMBER(E255),ISNUMBER(F255)),F255-E255,"")</f>
        <v/>
      </c>
      <c r="H255" s="30" t="n">
        <v>1</v>
      </c>
      <c r="I255" s="31">
        <f>IF(AND(ISNUMBER(G255),ISNUMBER(H255)),G255*H255,"")</f>
        <v/>
      </c>
      <c r="J255" s="32">
        <f>IF(ISNUMBER(I255),I255*MileRate,"")</f>
        <v/>
      </c>
      <c r="K255" s="28" t="n"/>
    </row>
    <row r="256" ht="20" customHeight="1">
      <c r="A256" s="27" t="n"/>
      <c r="B256" s="28" t="n"/>
      <c r="C256" s="28" t="n"/>
      <c r="D256" s="28" t="n"/>
      <c r="E256" s="29" t="n"/>
      <c r="F256" s="29" t="n"/>
      <c r="G256" s="29">
        <f>IF(AND(ISNUMBER(E256),ISNUMBER(F256)),F256-E256,"")</f>
        <v/>
      </c>
      <c r="H256" s="30" t="n">
        <v>1</v>
      </c>
      <c r="I256" s="31">
        <f>IF(AND(ISNUMBER(G256),ISNUMBER(H256)),G256*H256,"")</f>
        <v/>
      </c>
      <c r="J256" s="32">
        <f>IF(ISNUMBER(I256),I256*MileRate,"")</f>
        <v/>
      </c>
      <c r="K256" s="28" t="n"/>
    </row>
    <row r="257" ht="20" customHeight="1">
      <c r="A257" s="27" t="n"/>
      <c r="B257" s="28" t="n"/>
      <c r="C257" s="28" t="n"/>
      <c r="D257" s="28" t="n"/>
      <c r="E257" s="29" t="n"/>
      <c r="F257" s="29" t="n"/>
      <c r="G257" s="29">
        <f>IF(AND(ISNUMBER(E257),ISNUMBER(F257)),F257-E257,"")</f>
        <v/>
      </c>
      <c r="H257" s="30" t="n">
        <v>1</v>
      </c>
      <c r="I257" s="31">
        <f>IF(AND(ISNUMBER(G257),ISNUMBER(H257)),G257*H257,"")</f>
        <v/>
      </c>
      <c r="J257" s="32">
        <f>IF(ISNUMBER(I257),I257*MileRate,"")</f>
        <v/>
      </c>
      <c r="K257" s="28" t="n"/>
    </row>
    <row r="258" ht="20" customHeight="1">
      <c r="A258" s="27" t="n"/>
      <c r="B258" s="28" t="n"/>
      <c r="C258" s="28" t="n"/>
      <c r="D258" s="28" t="n"/>
      <c r="E258" s="29" t="n"/>
      <c r="F258" s="29" t="n"/>
      <c r="G258" s="29">
        <f>IF(AND(ISNUMBER(E258),ISNUMBER(F258)),F258-E258,"")</f>
        <v/>
      </c>
      <c r="H258" s="30" t="n">
        <v>1</v>
      </c>
      <c r="I258" s="31">
        <f>IF(AND(ISNUMBER(G258),ISNUMBER(H258)),G258*H258,"")</f>
        <v/>
      </c>
      <c r="J258" s="32">
        <f>IF(ISNUMBER(I258),I258*MileRate,"")</f>
        <v/>
      </c>
      <c r="K258" s="28" t="n"/>
    </row>
    <row r="259" ht="20" customHeight="1">
      <c r="A259" s="27" t="n"/>
      <c r="B259" s="28" t="n"/>
      <c r="C259" s="28" t="n"/>
      <c r="D259" s="28" t="n"/>
      <c r="E259" s="29" t="n"/>
      <c r="F259" s="29" t="n"/>
      <c r="G259" s="29">
        <f>IF(AND(ISNUMBER(E259),ISNUMBER(F259)),F259-E259,"")</f>
        <v/>
      </c>
      <c r="H259" s="30" t="n">
        <v>1</v>
      </c>
      <c r="I259" s="31">
        <f>IF(AND(ISNUMBER(G259),ISNUMBER(H259)),G259*H259,"")</f>
        <v/>
      </c>
      <c r="J259" s="32">
        <f>IF(ISNUMBER(I259),I259*MileRate,"")</f>
        <v/>
      </c>
      <c r="K259" s="28" t="n"/>
    </row>
    <row r="260" ht="20" customHeight="1">
      <c r="A260" s="27" t="n"/>
      <c r="B260" s="28" t="n"/>
      <c r="C260" s="28" t="n"/>
      <c r="D260" s="28" t="n"/>
      <c r="E260" s="29" t="n"/>
      <c r="F260" s="29" t="n"/>
      <c r="G260" s="29">
        <f>IF(AND(ISNUMBER(E260),ISNUMBER(F260)),F260-E260,"")</f>
        <v/>
      </c>
      <c r="H260" s="30" t="n">
        <v>1</v>
      </c>
      <c r="I260" s="31">
        <f>IF(AND(ISNUMBER(G260),ISNUMBER(H260)),G260*H260,"")</f>
        <v/>
      </c>
      <c r="J260" s="32">
        <f>IF(ISNUMBER(I260),I260*MileRate,"")</f>
        <v/>
      </c>
      <c r="K260" s="28" t="n"/>
    </row>
    <row r="261" ht="20" customHeight="1">
      <c r="A261" s="27" t="n"/>
      <c r="B261" s="28" t="n"/>
      <c r="C261" s="28" t="n"/>
      <c r="D261" s="28" t="n"/>
      <c r="E261" s="29" t="n"/>
      <c r="F261" s="29" t="n"/>
      <c r="G261" s="29">
        <f>IF(AND(ISNUMBER(E261),ISNUMBER(F261)),F261-E261,"")</f>
        <v/>
      </c>
      <c r="H261" s="30" t="n">
        <v>1</v>
      </c>
      <c r="I261" s="31">
        <f>IF(AND(ISNUMBER(G261),ISNUMBER(H261)),G261*H261,"")</f>
        <v/>
      </c>
      <c r="J261" s="32">
        <f>IF(ISNUMBER(I261),I261*MileRate,"")</f>
        <v/>
      </c>
      <c r="K261" s="28" t="n"/>
    </row>
    <row r="262" ht="20" customHeight="1">
      <c r="A262" s="27" t="n"/>
      <c r="B262" s="28" t="n"/>
      <c r="C262" s="28" t="n"/>
      <c r="D262" s="28" t="n"/>
      <c r="E262" s="29" t="n"/>
      <c r="F262" s="29" t="n"/>
      <c r="G262" s="29">
        <f>IF(AND(ISNUMBER(E262),ISNUMBER(F262)),F262-E262,"")</f>
        <v/>
      </c>
      <c r="H262" s="30" t="n">
        <v>1</v>
      </c>
      <c r="I262" s="31">
        <f>IF(AND(ISNUMBER(G262),ISNUMBER(H262)),G262*H262,"")</f>
        <v/>
      </c>
      <c r="J262" s="32">
        <f>IF(ISNUMBER(I262),I262*MileRate,"")</f>
        <v/>
      </c>
      <c r="K262" s="28" t="n"/>
    </row>
    <row r="263" ht="20" customHeight="1">
      <c r="A263" s="27" t="n"/>
      <c r="B263" s="28" t="n"/>
      <c r="C263" s="28" t="n"/>
      <c r="D263" s="28" t="n"/>
      <c r="E263" s="29" t="n"/>
      <c r="F263" s="29" t="n"/>
      <c r="G263" s="29">
        <f>IF(AND(ISNUMBER(E263),ISNUMBER(F263)),F263-E263,"")</f>
        <v/>
      </c>
      <c r="H263" s="30" t="n">
        <v>1</v>
      </c>
      <c r="I263" s="31">
        <f>IF(AND(ISNUMBER(G263),ISNUMBER(H263)),G263*H263,"")</f>
        <v/>
      </c>
      <c r="J263" s="32">
        <f>IF(ISNUMBER(I263),I263*MileRate,"")</f>
        <v/>
      </c>
      <c r="K263" s="28" t="n"/>
    </row>
    <row r="264" ht="20" customHeight="1">
      <c r="A264" s="27" t="n"/>
      <c r="B264" s="28" t="n"/>
      <c r="C264" s="28" t="n"/>
      <c r="D264" s="28" t="n"/>
      <c r="E264" s="29" t="n"/>
      <c r="F264" s="29" t="n"/>
      <c r="G264" s="29">
        <f>IF(AND(ISNUMBER(E264),ISNUMBER(F264)),F264-E264,"")</f>
        <v/>
      </c>
      <c r="H264" s="30" t="n">
        <v>1</v>
      </c>
      <c r="I264" s="31">
        <f>IF(AND(ISNUMBER(G264),ISNUMBER(H264)),G264*H264,"")</f>
        <v/>
      </c>
      <c r="J264" s="32">
        <f>IF(ISNUMBER(I264),I264*MileRate,"")</f>
        <v/>
      </c>
      <c r="K264" s="28" t="n"/>
    </row>
    <row r="265" ht="20" customHeight="1">
      <c r="A265" s="27" t="n"/>
      <c r="B265" s="28" t="n"/>
      <c r="C265" s="28" t="n"/>
      <c r="D265" s="28" t="n"/>
      <c r="E265" s="29" t="n"/>
      <c r="F265" s="29" t="n"/>
      <c r="G265" s="29">
        <f>IF(AND(ISNUMBER(E265),ISNUMBER(F265)),F265-E265,"")</f>
        <v/>
      </c>
      <c r="H265" s="30" t="n">
        <v>1</v>
      </c>
      <c r="I265" s="31">
        <f>IF(AND(ISNUMBER(G265),ISNUMBER(H265)),G265*H265,"")</f>
        <v/>
      </c>
      <c r="J265" s="32">
        <f>IF(ISNUMBER(I265),I265*MileRate,"")</f>
        <v/>
      </c>
      <c r="K265" s="28" t="n"/>
    </row>
    <row r="266" ht="20" customHeight="1">
      <c r="A266" s="27" t="n"/>
      <c r="B266" s="28" t="n"/>
      <c r="C266" s="28" t="n"/>
      <c r="D266" s="28" t="n"/>
      <c r="E266" s="29" t="n"/>
      <c r="F266" s="29" t="n"/>
      <c r="G266" s="29">
        <f>IF(AND(ISNUMBER(E266),ISNUMBER(F266)),F266-E266,"")</f>
        <v/>
      </c>
      <c r="H266" s="30" t="n">
        <v>1</v>
      </c>
      <c r="I266" s="31">
        <f>IF(AND(ISNUMBER(G266),ISNUMBER(H266)),G266*H266,"")</f>
        <v/>
      </c>
      <c r="J266" s="32">
        <f>IF(ISNUMBER(I266),I266*MileRate,"")</f>
        <v/>
      </c>
      <c r="K266" s="28" t="n"/>
    </row>
    <row r="267" ht="20" customHeight="1">
      <c r="A267" s="27" t="n"/>
      <c r="B267" s="28" t="n"/>
      <c r="C267" s="28" t="n"/>
      <c r="D267" s="28" t="n"/>
      <c r="E267" s="29" t="n"/>
      <c r="F267" s="29" t="n"/>
      <c r="G267" s="29">
        <f>IF(AND(ISNUMBER(E267),ISNUMBER(F267)),F267-E267,"")</f>
        <v/>
      </c>
      <c r="H267" s="30" t="n">
        <v>1</v>
      </c>
      <c r="I267" s="31">
        <f>IF(AND(ISNUMBER(G267),ISNUMBER(H267)),G267*H267,"")</f>
        <v/>
      </c>
      <c r="J267" s="32">
        <f>IF(ISNUMBER(I267),I267*MileRate,"")</f>
        <v/>
      </c>
      <c r="K267" s="28" t="n"/>
    </row>
    <row r="268" ht="20" customHeight="1">
      <c r="A268" s="27" t="n"/>
      <c r="B268" s="28" t="n"/>
      <c r="C268" s="28" t="n"/>
      <c r="D268" s="28" t="n"/>
      <c r="E268" s="29" t="n"/>
      <c r="F268" s="29" t="n"/>
      <c r="G268" s="29">
        <f>IF(AND(ISNUMBER(E268),ISNUMBER(F268)),F268-E268,"")</f>
        <v/>
      </c>
      <c r="H268" s="30" t="n">
        <v>1</v>
      </c>
      <c r="I268" s="31">
        <f>IF(AND(ISNUMBER(G268),ISNUMBER(H268)),G268*H268,"")</f>
        <v/>
      </c>
      <c r="J268" s="32">
        <f>IF(ISNUMBER(I268),I268*MileRate,"")</f>
        <v/>
      </c>
      <c r="K268" s="28" t="n"/>
    </row>
    <row r="269" ht="20" customHeight="1">
      <c r="A269" s="27" t="n"/>
      <c r="B269" s="28" t="n"/>
      <c r="C269" s="28" t="n"/>
      <c r="D269" s="28" t="n"/>
      <c r="E269" s="29" t="n"/>
      <c r="F269" s="29" t="n"/>
      <c r="G269" s="29">
        <f>IF(AND(ISNUMBER(E269),ISNUMBER(F269)),F269-E269,"")</f>
        <v/>
      </c>
      <c r="H269" s="30" t="n">
        <v>1</v>
      </c>
      <c r="I269" s="31">
        <f>IF(AND(ISNUMBER(G269),ISNUMBER(H269)),G269*H269,"")</f>
        <v/>
      </c>
      <c r="J269" s="32">
        <f>IF(ISNUMBER(I269),I269*MileRate,"")</f>
        <v/>
      </c>
      <c r="K269" s="28" t="n"/>
    </row>
    <row r="270" ht="20" customHeight="1">
      <c r="A270" s="27" t="n"/>
      <c r="B270" s="28" t="n"/>
      <c r="C270" s="28" t="n"/>
      <c r="D270" s="28" t="n"/>
      <c r="E270" s="29" t="n"/>
      <c r="F270" s="29" t="n"/>
      <c r="G270" s="29">
        <f>IF(AND(ISNUMBER(E270),ISNUMBER(F270)),F270-E270,"")</f>
        <v/>
      </c>
      <c r="H270" s="30" t="n">
        <v>1</v>
      </c>
      <c r="I270" s="31">
        <f>IF(AND(ISNUMBER(G270),ISNUMBER(H270)),G270*H270,"")</f>
        <v/>
      </c>
      <c r="J270" s="32">
        <f>IF(ISNUMBER(I270),I270*MileRate,"")</f>
        <v/>
      </c>
      <c r="K270" s="28" t="n"/>
    </row>
    <row r="271" ht="20" customHeight="1">
      <c r="A271" s="27" t="n"/>
      <c r="B271" s="28" t="n"/>
      <c r="C271" s="28" t="n"/>
      <c r="D271" s="28" t="n"/>
      <c r="E271" s="29" t="n"/>
      <c r="F271" s="29" t="n"/>
      <c r="G271" s="29">
        <f>IF(AND(ISNUMBER(E271),ISNUMBER(F271)),F271-E271,"")</f>
        <v/>
      </c>
      <c r="H271" s="30" t="n">
        <v>1</v>
      </c>
      <c r="I271" s="31">
        <f>IF(AND(ISNUMBER(G271),ISNUMBER(H271)),G271*H271,"")</f>
        <v/>
      </c>
      <c r="J271" s="32">
        <f>IF(ISNUMBER(I271),I271*MileRate,"")</f>
        <v/>
      </c>
      <c r="K271" s="28" t="n"/>
    </row>
    <row r="272" ht="20" customHeight="1">
      <c r="A272" s="27" t="n"/>
      <c r="B272" s="28" t="n"/>
      <c r="C272" s="28" t="n"/>
      <c r="D272" s="28" t="n"/>
      <c r="E272" s="29" t="n"/>
      <c r="F272" s="29" t="n"/>
      <c r="G272" s="29">
        <f>IF(AND(ISNUMBER(E272),ISNUMBER(F272)),F272-E272,"")</f>
        <v/>
      </c>
      <c r="H272" s="30" t="n">
        <v>1</v>
      </c>
      <c r="I272" s="31">
        <f>IF(AND(ISNUMBER(G272),ISNUMBER(H272)),G272*H272,"")</f>
        <v/>
      </c>
      <c r="J272" s="32">
        <f>IF(ISNUMBER(I272),I272*MileRate,"")</f>
        <v/>
      </c>
      <c r="K272" s="28" t="n"/>
    </row>
    <row r="273" ht="20" customHeight="1">
      <c r="A273" s="27" t="n"/>
      <c r="B273" s="28" t="n"/>
      <c r="C273" s="28" t="n"/>
      <c r="D273" s="28" t="n"/>
      <c r="E273" s="29" t="n"/>
      <c r="F273" s="29" t="n"/>
      <c r="G273" s="29">
        <f>IF(AND(ISNUMBER(E273),ISNUMBER(F273)),F273-E273,"")</f>
        <v/>
      </c>
      <c r="H273" s="30" t="n">
        <v>1</v>
      </c>
      <c r="I273" s="31">
        <f>IF(AND(ISNUMBER(G273),ISNUMBER(H273)),G273*H273,"")</f>
        <v/>
      </c>
      <c r="J273" s="32">
        <f>IF(ISNUMBER(I273),I273*MileRate,"")</f>
        <v/>
      </c>
      <c r="K273" s="28" t="n"/>
    </row>
    <row r="274" ht="20" customHeight="1">
      <c r="A274" s="27" t="n"/>
      <c r="B274" s="28" t="n"/>
      <c r="C274" s="28" t="n"/>
      <c r="D274" s="28" t="n"/>
      <c r="E274" s="29" t="n"/>
      <c r="F274" s="29" t="n"/>
      <c r="G274" s="29">
        <f>IF(AND(ISNUMBER(E274),ISNUMBER(F274)),F274-E274,"")</f>
        <v/>
      </c>
      <c r="H274" s="30" t="n">
        <v>1</v>
      </c>
      <c r="I274" s="31">
        <f>IF(AND(ISNUMBER(G274),ISNUMBER(H274)),G274*H274,"")</f>
        <v/>
      </c>
      <c r="J274" s="32">
        <f>IF(ISNUMBER(I274),I274*MileRate,"")</f>
        <v/>
      </c>
      <c r="K274" s="28" t="n"/>
    </row>
    <row r="275" ht="20" customHeight="1">
      <c r="A275" s="27" t="n"/>
      <c r="B275" s="28" t="n"/>
      <c r="C275" s="28" t="n"/>
      <c r="D275" s="28" t="n"/>
      <c r="E275" s="29" t="n"/>
      <c r="F275" s="29" t="n"/>
      <c r="G275" s="29">
        <f>IF(AND(ISNUMBER(E275),ISNUMBER(F275)),F275-E275,"")</f>
        <v/>
      </c>
      <c r="H275" s="30" t="n">
        <v>1</v>
      </c>
      <c r="I275" s="31">
        <f>IF(AND(ISNUMBER(G275),ISNUMBER(H275)),G275*H275,"")</f>
        <v/>
      </c>
      <c r="J275" s="32">
        <f>IF(ISNUMBER(I275),I275*MileRate,"")</f>
        <v/>
      </c>
      <c r="K275" s="28" t="n"/>
    </row>
    <row r="276" ht="20" customHeight="1">
      <c r="A276" s="27" t="n"/>
      <c r="B276" s="28" t="n"/>
      <c r="C276" s="28" t="n"/>
      <c r="D276" s="28" t="n"/>
      <c r="E276" s="29" t="n"/>
      <c r="F276" s="29" t="n"/>
      <c r="G276" s="29">
        <f>IF(AND(ISNUMBER(E276),ISNUMBER(F276)),F276-E276,"")</f>
        <v/>
      </c>
      <c r="H276" s="30" t="n">
        <v>1</v>
      </c>
      <c r="I276" s="31">
        <f>IF(AND(ISNUMBER(G276),ISNUMBER(H276)),G276*H276,"")</f>
        <v/>
      </c>
      <c r="J276" s="32">
        <f>IF(ISNUMBER(I276),I276*MileRate,"")</f>
        <v/>
      </c>
      <c r="K276" s="28" t="n"/>
    </row>
    <row r="277" ht="20" customHeight="1">
      <c r="A277" s="27" t="n"/>
      <c r="B277" s="28" t="n"/>
      <c r="C277" s="28" t="n"/>
      <c r="D277" s="28" t="n"/>
      <c r="E277" s="29" t="n"/>
      <c r="F277" s="29" t="n"/>
      <c r="G277" s="29">
        <f>IF(AND(ISNUMBER(E277),ISNUMBER(F277)),F277-E277,"")</f>
        <v/>
      </c>
      <c r="H277" s="30" t="n">
        <v>1</v>
      </c>
      <c r="I277" s="31">
        <f>IF(AND(ISNUMBER(G277),ISNUMBER(H277)),G277*H277,"")</f>
        <v/>
      </c>
      <c r="J277" s="32">
        <f>IF(ISNUMBER(I277),I277*MileRate,"")</f>
        <v/>
      </c>
      <c r="K277" s="28" t="n"/>
    </row>
    <row r="278" ht="20" customHeight="1">
      <c r="A278" s="27" t="n"/>
      <c r="B278" s="28" t="n"/>
      <c r="C278" s="28" t="n"/>
      <c r="D278" s="28" t="n"/>
      <c r="E278" s="29" t="n"/>
      <c r="F278" s="29" t="n"/>
      <c r="G278" s="29">
        <f>IF(AND(ISNUMBER(E278),ISNUMBER(F278)),F278-E278,"")</f>
        <v/>
      </c>
      <c r="H278" s="30" t="n">
        <v>1</v>
      </c>
      <c r="I278" s="31">
        <f>IF(AND(ISNUMBER(G278),ISNUMBER(H278)),G278*H278,"")</f>
        <v/>
      </c>
      <c r="J278" s="32">
        <f>IF(ISNUMBER(I278),I278*MileRate,"")</f>
        <v/>
      </c>
      <c r="K278" s="28" t="n"/>
    </row>
    <row r="279" ht="20" customHeight="1">
      <c r="A279" s="27" t="n"/>
      <c r="B279" s="28" t="n"/>
      <c r="C279" s="28" t="n"/>
      <c r="D279" s="28" t="n"/>
      <c r="E279" s="29" t="n"/>
      <c r="F279" s="29" t="n"/>
      <c r="G279" s="29">
        <f>IF(AND(ISNUMBER(E279),ISNUMBER(F279)),F279-E279,"")</f>
        <v/>
      </c>
      <c r="H279" s="30" t="n">
        <v>1</v>
      </c>
      <c r="I279" s="31">
        <f>IF(AND(ISNUMBER(G279),ISNUMBER(H279)),G279*H279,"")</f>
        <v/>
      </c>
      <c r="J279" s="32">
        <f>IF(ISNUMBER(I279),I279*MileRate,"")</f>
        <v/>
      </c>
      <c r="K279" s="28" t="n"/>
    </row>
    <row r="280" ht="20" customHeight="1">
      <c r="A280" s="27" t="n"/>
      <c r="B280" s="28" t="n"/>
      <c r="C280" s="28" t="n"/>
      <c r="D280" s="28" t="n"/>
      <c r="E280" s="29" t="n"/>
      <c r="F280" s="29" t="n"/>
      <c r="G280" s="29">
        <f>IF(AND(ISNUMBER(E280),ISNUMBER(F280)),F280-E280,"")</f>
        <v/>
      </c>
      <c r="H280" s="30" t="n">
        <v>1</v>
      </c>
      <c r="I280" s="31">
        <f>IF(AND(ISNUMBER(G280),ISNUMBER(H280)),G280*H280,"")</f>
        <v/>
      </c>
      <c r="J280" s="32">
        <f>IF(ISNUMBER(I280),I280*MileRate,"")</f>
        <v/>
      </c>
      <c r="K280" s="28" t="n"/>
    </row>
    <row r="281" ht="20" customHeight="1">
      <c r="A281" s="27" t="n"/>
      <c r="B281" s="28" t="n"/>
      <c r="C281" s="28" t="n"/>
      <c r="D281" s="28" t="n"/>
      <c r="E281" s="29" t="n"/>
      <c r="F281" s="29" t="n"/>
      <c r="G281" s="29">
        <f>IF(AND(ISNUMBER(E281),ISNUMBER(F281)),F281-E281,"")</f>
        <v/>
      </c>
      <c r="H281" s="30" t="n">
        <v>1</v>
      </c>
      <c r="I281" s="31">
        <f>IF(AND(ISNUMBER(G281),ISNUMBER(H281)),G281*H281,"")</f>
        <v/>
      </c>
      <c r="J281" s="32">
        <f>IF(ISNUMBER(I281),I281*MileRate,"")</f>
        <v/>
      </c>
      <c r="K281" s="28" t="n"/>
    </row>
    <row r="282" ht="20" customHeight="1">
      <c r="A282" s="27" t="n"/>
      <c r="B282" s="28" t="n"/>
      <c r="C282" s="28" t="n"/>
      <c r="D282" s="28" t="n"/>
      <c r="E282" s="29" t="n"/>
      <c r="F282" s="29" t="n"/>
      <c r="G282" s="29">
        <f>IF(AND(ISNUMBER(E282),ISNUMBER(F282)),F282-E282,"")</f>
        <v/>
      </c>
      <c r="H282" s="30" t="n">
        <v>1</v>
      </c>
      <c r="I282" s="31">
        <f>IF(AND(ISNUMBER(G282),ISNUMBER(H282)),G282*H282,"")</f>
        <v/>
      </c>
      <c r="J282" s="32">
        <f>IF(ISNUMBER(I282),I282*MileRate,"")</f>
        <v/>
      </c>
      <c r="K282" s="28" t="n"/>
    </row>
    <row r="283" ht="20" customHeight="1">
      <c r="A283" s="27" t="n"/>
      <c r="B283" s="28" t="n"/>
      <c r="C283" s="28" t="n"/>
      <c r="D283" s="28" t="n"/>
      <c r="E283" s="29" t="n"/>
      <c r="F283" s="29" t="n"/>
      <c r="G283" s="29">
        <f>IF(AND(ISNUMBER(E283),ISNUMBER(F283)),F283-E283,"")</f>
        <v/>
      </c>
      <c r="H283" s="30" t="n">
        <v>1</v>
      </c>
      <c r="I283" s="31">
        <f>IF(AND(ISNUMBER(G283),ISNUMBER(H283)),G283*H283,"")</f>
        <v/>
      </c>
      <c r="J283" s="32">
        <f>IF(ISNUMBER(I283),I283*MileRate,"")</f>
        <v/>
      </c>
      <c r="K283" s="28" t="n"/>
    </row>
    <row r="284" ht="20" customHeight="1">
      <c r="A284" s="27" t="n"/>
      <c r="B284" s="28" t="n"/>
      <c r="C284" s="28" t="n"/>
      <c r="D284" s="28" t="n"/>
      <c r="E284" s="29" t="n"/>
      <c r="F284" s="29" t="n"/>
      <c r="G284" s="29">
        <f>IF(AND(ISNUMBER(E284),ISNUMBER(F284)),F284-E284,"")</f>
        <v/>
      </c>
      <c r="H284" s="30" t="n">
        <v>1</v>
      </c>
      <c r="I284" s="31">
        <f>IF(AND(ISNUMBER(G284),ISNUMBER(H284)),G284*H284,"")</f>
        <v/>
      </c>
      <c r="J284" s="32">
        <f>IF(ISNUMBER(I284),I284*MileRate,"")</f>
        <v/>
      </c>
      <c r="K284" s="28" t="n"/>
    </row>
    <row r="285" ht="20" customHeight="1">
      <c r="A285" s="27" t="n"/>
      <c r="B285" s="28" t="n"/>
      <c r="C285" s="28" t="n"/>
      <c r="D285" s="28" t="n"/>
      <c r="E285" s="29" t="n"/>
      <c r="F285" s="29" t="n"/>
      <c r="G285" s="29">
        <f>IF(AND(ISNUMBER(E285),ISNUMBER(F285)),F285-E285,"")</f>
        <v/>
      </c>
      <c r="H285" s="30" t="n">
        <v>1</v>
      </c>
      <c r="I285" s="31">
        <f>IF(AND(ISNUMBER(G285),ISNUMBER(H285)),G285*H285,"")</f>
        <v/>
      </c>
      <c r="J285" s="32">
        <f>IF(ISNUMBER(I285),I285*MileRate,"")</f>
        <v/>
      </c>
      <c r="K285" s="28" t="n"/>
    </row>
    <row r="286" ht="20" customHeight="1">
      <c r="A286" s="27" t="n"/>
      <c r="B286" s="28" t="n"/>
      <c r="C286" s="28" t="n"/>
      <c r="D286" s="28" t="n"/>
      <c r="E286" s="29" t="n"/>
      <c r="F286" s="29" t="n"/>
      <c r="G286" s="29">
        <f>IF(AND(ISNUMBER(E286),ISNUMBER(F286)),F286-E286,"")</f>
        <v/>
      </c>
      <c r="H286" s="30" t="n">
        <v>1</v>
      </c>
      <c r="I286" s="31">
        <f>IF(AND(ISNUMBER(G286),ISNUMBER(H286)),G286*H286,"")</f>
        <v/>
      </c>
      <c r="J286" s="32">
        <f>IF(ISNUMBER(I286),I286*MileRate,"")</f>
        <v/>
      </c>
      <c r="K286" s="28" t="n"/>
    </row>
    <row r="287" ht="20" customHeight="1">
      <c r="A287" s="27" t="n"/>
      <c r="B287" s="28" t="n"/>
      <c r="C287" s="28" t="n"/>
      <c r="D287" s="28" t="n"/>
      <c r="E287" s="29" t="n"/>
      <c r="F287" s="29" t="n"/>
      <c r="G287" s="29">
        <f>IF(AND(ISNUMBER(E287),ISNUMBER(F287)),F287-E287,"")</f>
        <v/>
      </c>
      <c r="H287" s="30" t="n">
        <v>1</v>
      </c>
      <c r="I287" s="31">
        <f>IF(AND(ISNUMBER(G287),ISNUMBER(H287)),G287*H287,"")</f>
        <v/>
      </c>
      <c r="J287" s="32">
        <f>IF(ISNUMBER(I287),I287*MileRate,"")</f>
        <v/>
      </c>
      <c r="K287" s="28" t="n"/>
    </row>
    <row r="288" ht="20" customHeight="1">
      <c r="A288" s="27" t="n"/>
      <c r="B288" s="28" t="n"/>
      <c r="C288" s="28" t="n"/>
      <c r="D288" s="28" t="n"/>
      <c r="E288" s="29" t="n"/>
      <c r="F288" s="29" t="n"/>
      <c r="G288" s="29">
        <f>IF(AND(ISNUMBER(E288),ISNUMBER(F288)),F288-E288,"")</f>
        <v/>
      </c>
      <c r="H288" s="30" t="n">
        <v>1</v>
      </c>
      <c r="I288" s="31">
        <f>IF(AND(ISNUMBER(G288),ISNUMBER(H288)),G288*H288,"")</f>
        <v/>
      </c>
      <c r="J288" s="32">
        <f>IF(ISNUMBER(I288),I288*MileRate,"")</f>
        <v/>
      </c>
      <c r="K288" s="28" t="n"/>
    </row>
    <row r="289" ht="20" customHeight="1">
      <c r="A289" s="27" t="n"/>
      <c r="B289" s="28" t="n"/>
      <c r="C289" s="28" t="n"/>
      <c r="D289" s="28" t="n"/>
      <c r="E289" s="29" t="n"/>
      <c r="F289" s="29" t="n"/>
      <c r="G289" s="29">
        <f>IF(AND(ISNUMBER(E289),ISNUMBER(F289)),F289-E289,"")</f>
        <v/>
      </c>
      <c r="H289" s="30" t="n">
        <v>1</v>
      </c>
      <c r="I289" s="31">
        <f>IF(AND(ISNUMBER(G289),ISNUMBER(H289)),G289*H289,"")</f>
        <v/>
      </c>
      <c r="J289" s="32">
        <f>IF(ISNUMBER(I289),I289*MileRate,"")</f>
        <v/>
      </c>
      <c r="K289" s="28" t="n"/>
    </row>
    <row r="290" ht="20" customHeight="1">
      <c r="A290" s="27" t="n"/>
      <c r="B290" s="28" t="n"/>
      <c r="C290" s="28" t="n"/>
      <c r="D290" s="28" t="n"/>
      <c r="E290" s="29" t="n"/>
      <c r="F290" s="29" t="n"/>
      <c r="G290" s="29">
        <f>IF(AND(ISNUMBER(E290),ISNUMBER(F290)),F290-E290,"")</f>
        <v/>
      </c>
      <c r="H290" s="30" t="n">
        <v>1</v>
      </c>
      <c r="I290" s="31">
        <f>IF(AND(ISNUMBER(G290),ISNUMBER(H290)),G290*H290,"")</f>
        <v/>
      </c>
      <c r="J290" s="32">
        <f>IF(ISNUMBER(I290),I290*MileRate,"")</f>
        <v/>
      </c>
      <c r="K290" s="28" t="n"/>
    </row>
    <row r="291" ht="20" customHeight="1">
      <c r="A291" s="27" t="n"/>
      <c r="B291" s="28" t="n"/>
      <c r="C291" s="28" t="n"/>
      <c r="D291" s="28" t="n"/>
      <c r="E291" s="29" t="n"/>
      <c r="F291" s="29" t="n"/>
      <c r="G291" s="29">
        <f>IF(AND(ISNUMBER(E291),ISNUMBER(F291)),F291-E291,"")</f>
        <v/>
      </c>
      <c r="H291" s="30" t="n">
        <v>1</v>
      </c>
      <c r="I291" s="31">
        <f>IF(AND(ISNUMBER(G291),ISNUMBER(H291)),G291*H291,"")</f>
        <v/>
      </c>
      <c r="J291" s="32">
        <f>IF(ISNUMBER(I291),I291*MileRate,"")</f>
        <v/>
      </c>
      <c r="K291" s="28" t="n"/>
    </row>
    <row r="292" ht="20" customHeight="1">
      <c r="A292" s="27" t="n"/>
      <c r="B292" s="28" t="n"/>
      <c r="C292" s="28" t="n"/>
      <c r="D292" s="28" t="n"/>
      <c r="E292" s="29" t="n"/>
      <c r="F292" s="29" t="n"/>
      <c r="G292" s="29">
        <f>IF(AND(ISNUMBER(E292),ISNUMBER(F292)),F292-E292,"")</f>
        <v/>
      </c>
      <c r="H292" s="30" t="n">
        <v>1</v>
      </c>
      <c r="I292" s="31">
        <f>IF(AND(ISNUMBER(G292),ISNUMBER(H292)),G292*H292,"")</f>
        <v/>
      </c>
      <c r="J292" s="32">
        <f>IF(ISNUMBER(I292),I292*MileRate,"")</f>
        <v/>
      </c>
      <c r="K292" s="28" t="n"/>
    </row>
    <row r="293" ht="20" customHeight="1">
      <c r="A293" s="27" t="n"/>
      <c r="B293" s="28" t="n"/>
      <c r="C293" s="28" t="n"/>
      <c r="D293" s="28" t="n"/>
      <c r="E293" s="29" t="n"/>
      <c r="F293" s="29" t="n"/>
      <c r="G293" s="29">
        <f>IF(AND(ISNUMBER(E293),ISNUMBER(F293)),F293-E293,"")</f>
        <v/>
      </c>
      <c r="H293" s="30" t="n">
        <v>1</v>
      </c>
      <c r="I293" s="31">
        <f>IF(AND(ISNUMBER(G293),ISNUMBER(H293)),G293*H293,"")</f>
        <v/>
      </c>
      <c r="J293" s="32">
        <f>IF(ISNUMBER(I293),I293*MileRate,"")</f>
        <v/>
      </c>
      <c r="K293" s="28" t="n"/>
    </row>
    <row r="294" ht="20" customHeight="1">
      <c r="A294" s="27" t="n"/>
      <c r="B294" s="28" t="n"/>
      <c r="C294" s="28" t="n"/>
      <c r="D294" s="28" t="n"/>
      <c r="E294" s="29" t="n"/>
      <c r="F294" s="29" t="n"/>
      <c r="G294" s="29">
        <f>IF(AND(ISNUMBER(E294),ISNUMBER(F294)),F294-E294,"")</f>
        <v/>
      </c>
      <c r="H294" s="30" t="n">
        <v>1</v>
      </c>
      <c r="I294" s="31">
        <f>IF(AND(ISNUMBER(G294),ISNUMBER(H294)),G294*H294,"")</f>
        <v/>
      </c>
      <c r="J294" s="32">
        <f>IF(ISNUMBER(I294),I294*MileRate,"")</f>
        <v/>
      </c>
      <c r="K294" s="28" t="n"/>
    </row>
    <row r="295" ht="20" customHeight="1">
      <c r="A295" s="27" t="n"/>
      <c r="B295" s="28" t="n"/>
      <c r="C295" s="28" t="n"/>
      <c r="D295" s="28" t="n"/>
      <c r="E295" s="29" t="n"/>
      <c r="F295" s="29" t="n"/>
      <c r="G295" s="29">
        <f>IF(AND(ISNUMBER(E295),ISNUMBER(F295)),F295-E295,"")</f>
        <v/>
      </c>
      <c r="H295" s="30" t="n">
        <v>1</v>
      </c>
      <c r="I295" s="31">
        <f>IF(AND(ISNUMBER(G295),ISNUMBER(H295)),G295*H295,"")</f>
        <v/>
      </c>
      <c r="J295" s="32">
        <f>IF(ISNUMBER(I295),I295*MileRate,"")</f>
        <v/>
      </c>
      <c r="K295" s="28" t="n"/>
    </row>
    <row r="296" ht="20" customHeight="1">
      <c r="A296" s="27" t="n"/>
      <c r="B296" s="28" t="n"/>
      <c r="C296" s="28" t="n"/>
      <c r="D296" s="28" t="n"/>
      <c r="E296" s="29" t="n"/>
      <c r="F296" s="29" t="n"/>
      <c r="G296" s="29">
        <f>IF(AND(ISNUMBER(E296),ISNUMBER(F296)),F296-E296,"")</f>
        <v/>
      </c>
      <c r="H296" s="30" t="n">
        <v>1</v>
      </c>
      <c r="I296" s="31">
        <f>IF(AND(ISNUMBER(G296),ISNUMBER(H296)),G296*H296,"")</f>
        <v/>
      </c>
      <c r="J296" s="32">
        <f>IF(ISNUMBER(I296),I296*MileRate,"")</f>
        <v/>
      </c>
      <c r="K296" s="28" t="n"/>
    </row>
    <row r="297" ht="20" customHeight="1">
      <c r="A297" s="27" t="n"/>
      <c r="B297" s="28" t="n"/>
      <c r="C297" s="28" t="n"/>
      <c r="D297" s="28" t="n"/>
      <c r="E297" s="29" t="n"/>
      <c r="F297" s="29" t="n"/>
      <c r="G297" s="29">
        <f>IF(AND(ISNUMBER(E297),ISNUMBER(F297)),F297-E297,"")</f>
        <v/>
      </c>
      <c r="H297" s="30" t="n">
        <v>1</v>
      </c>
      <c r="I297" s="31">
        <f>IF(AND(ISNUMBER(G297),ISNUMBER(H297)),G297*H297,"")</f>
        <v/>
      </c>
      <c r="J297" s="32">
        <f>IF(ISNUMBER(I297),I297*MileRate,"")</f>
        <v/>
      </c>
      <c r="K297" s="28" t="n"/>
    </row>
    <row r="298" ht="20" customHeight="1">
      <c r="A298" s="27" t="n"/>
      <c r="B298" s="28" t="n"/>
      <c r="C298" s="28" t="n"/>
      <c r="D298" s="28" t="n"/>
      <c r="E298" s="29" t="n"/>
      <c r="F298" s="29" t="n"/>
      <c r="G298" s="29">
        <f>IF(AND(ISNUMBER(E298),ISNUMBER(F298)),F298-E298,"")</f>
        <v/>
      </c>
      <c r="H298" s="30" t="n">
        <v>1</v>
      </c>
      <c r="I298" s="31">
        <f>IF(AND(ISNUMBER(G298),ISNUMBER(H298)),G298*H298,"")</f>
        <v/>
      </c>
      <c r="J298" s="32">
        <f>IF(ISNUMBER(I298),I298*MileRate,"")</f>
        <v/>
      </c>
      <c r="K298" s="28" t="n"/>
    </row>
    <row r="299" ht="20" customHeight="1">
      <c r="A299" s="27" t="n"/>
      <c r="B299" s="28" t="n"/>
      <c r="C299" s="28" t="n"/>
      <c r="D299" s="28" t="n"/>
      <c r="E299" s="29" t="n"/>
      <c r="F299" s="29" t="n"/>
      <c r="G299" s="29">
        <f>IF(AND(ISNUMBER(E299),ISNUMBER(F299)),F299-E299,"")</f>
        <v/>
      </c>
      <c r="H299" s="30" t="n">
        <v>1</v>
      </c>
      <c r="I299" s="31">
        <f>IF(AND(ISNUMBER(G299),ISNUMBER(H299)),G299*H299,"")</f>
        <v/>
      </c>
      <c r="J299" s="32">
        <f>IF(ISNUMBER(I299),I299*MileRate,"")</f>
        <v/>
      </c>
      <c r="K299" s="28" t="n"/>
    </row>
    <row r="300" ht="20" customHeight="1">
      <c r="A300" s="27" t="n"/>
      <c r="B300" s="28" t="n"/>
      <c r="C300" s="28" t="n"/>
      <c r="D300" s="28" t="n"/>
      <c r="E300" s="29" t="n"/>
      <c r="F300" s="29" t="n"/>
      <c r="G300" s="29">
        <f>IF(AND(ISNUMBER(E300),ISNUMBER(F300)),F300-E300,"")</f>
        <v/>
      </c>
      <c r="H300" s="30" t="n">
        <v>1</v>
      </c>
      <c r="I300" s="31">
        <f>IF(AND(ISNUMBER(G300),ISNUMBER(H300)),G300*H300,"")</f>
        <v/>
      </c>
      <c r="J300" s="32">
        <f>IF(ISNUMBER(I300),I300*MileRate,"")</f>
        <v/>
      </c>
      <c r="K300" s="28" t="n"/>
    </row>
    <row r="301" ht="20" customHeight="1">
      <c r="A301" s="27" t="n"/>
      <c r="B301" s="28" t="n"/>
      <c r="C301" s="28" t="n"/>
      <c r="D301" s="28" t="n"/>
      <c r="E301" s="29" t="n"/>
      <c r="F301" s="29" t="n"/>
      <c r="G301" s="29">
        <f>IF(AND(ISNUMBER(E301),ISNUMBER(F301)),F301-E301,"")</f>
        <v/>
      </c>
      <c r="H301" s="30" t="n">
        <v>1</v>
      </c>
      <c r="I301" s="31">
        <f>IF(AND(ISNUMBER(G301),ISNUMBER(H301)),G301*H301,"")</f>
        <v/>
      </c>
      <c r="J301" s="32">
        <f>IF(ISNUMBER(I301),I301*MileRate,"")</f>
        <v/>
      </c>
      <c r="K301" s="28" t="n"/>
    </row>
    <row r="302" ht="20" customHeight="1">
      <c r="A302" s="27" t="n"/>
      <c r="B302" s="28" t="n"/>
      <c r="C302" s="28" t="n"/>
      <c r="D302" s="28" t="n"/>
      <c r="E302" s="29" t="n"/>
      <c r="F302" s="29" t="n"/>
      <c r="G302" s="29">
        <f>IF(AND(ISNUMBER(E302),ISNUMBER(F302)),F302-E302,"")</f>
        <v/>
      </c>
      <c r="H302" s="30" t="n">
        <v>1</v>
      </c>
      <c r="I302" s="31">
        <f>IF(AND(ISNUMBER(G302),ISNUMBER(H302)),G302*H302,"")</f>
        <v/>
      </c>
      <c r="J302" s="32">
        <f>IF(ISNUMBER(I302),I302*MileRate,"")</f>
        <v/>
      </c>
      <c r="K302" s="28" t="n"/>
    </row>
    <row r="303" ht="20" customHeight="1">
      <c r="A303" s="27" t="n"/>
      <c r="B303" s="28" t="n"/>
      <c r="C303" s="28" t="n"/>
      <c r="D303" s="28" t="n"/>
      <c r="E303" s="29" t="n"/>
      <c r="F303" s="29" t="n"/>
      <c r="G303" s="29">
        <f>IF(AND(ISNUMBER(E303),ISNUMBER(F303)),F303-E303,"")</f>
        <v/>
      </c>
      <c r="H303" s="30" t="n">
        <v>1</v>
      </c>
      <c r="I303" s="31">
        <f>IF(AND(ISNUMBER(G303),ISNUMBER(H303)),G303*H303,"")</f>
        <v/>
      </c>
      <c r="J303" s="32">
        <f>IF(ISNUMBER(I303),I303*MileRate,"")</f>
        <v/>
      </c>
      <c r="K303" s="28" t="n"/>
    </row>
    <row r="304" ht="20" customHeight="1">
      <c r="A304" s="27" t="n"/>
      <c r="B304" s="28" t="n"/>
      <c r="C304" s="28" t="n"/>
      <c r="D304" s="28" t="n"/>
      <c r="E304" s="29" t="n"/>
      <c r="F304" s="29" t="n"/>
      <c r="G304" s="29">
        <f>IF(AND(ISNUMBER(E304),ISNUMBER(F304)),F304-E304,"")</f>
        <v/>
      </c>
      <c r="H304" s="30" t="n">
        <v>1</v>
      </c>
      <c r="I304" s="31">
        <f>IF(AND(ISNUMBER(G304),ISNUMBER(H304)),G304*H304,"")</f>
        <v/>
      </c>
      <c r="J304" s="32">
        <f>IF(ISNUMBER(I304),I304*MileRate,"")</f>
        <v/>
      </c>
      <c r="K304" s="28" t="n"/>
    </row>
    <row r="305" ht="20" customHeight="1">
      <c r="A305" s="27" t="n"/>
      <c r="B305" s="28" t="n"/>
      <c r="C305" s="28" t="n"/>
      <c r="D305" s="28" t="n"/>
      <c r="E305" s="29" t="n"/>
      <c r="F305" s="29" t="n"/>
      <c r="G305" s="29">
        <f>IF(AND(ISNUMBER(E305),ISNUMBER(F305)),F305-E305,"")</f>
        <v/>
      </c>
      <c r="H305" s="30" t="n">
        <v>1</v>
      </c>
      <c r="I305" s="31">
        <f>IF(AND(ISNUMBER(G305),ISNUMBER(H305)),G305*H305,"")</f>
        <v/>
      </c>
      <c r="J305" s="32">
        <f>IF(ISNUMBER(I305),I305*MileRate,"")</f>
        <v/>
      </c>
      <c r="K305" s="28" t="n"/>
    </row>
    <row r="306" ht="20" customHeight="1">
      <c r="A306" s="27" t="n"/>
      <c r="B306" s="28" t="n"/>
      <c r="C306" s="28" t="n"/>
      <c r="D306" s="28" t="n"/>
      <c r="E306" s="29" t="n"/>
      <c r="F306" s="29" t="n"/>
      <c r="G306" s="29">
        <f>IF(AND(ISNUMBER(E306),ISNUMBER(F306)),F306-E306,"")</f>
        <v/>
      </c>
      <c r="H306" s="30" t="n">
        <v>1</v>
      </c>
      <c r="I306" s="31">
        <f>IF(AND(ISNUMBER(G306),ISNUMBER(H306)),G306*H306,"")</f>
        <v/>
      </c>
      <c r="J306" s="32">
        <f>IF(ISNUMBER(I306),I306*MileRate,"")</f>
        <v/>
      </c>
      <c r="K306" s="28" t="n"/>
    </row>
    <row r="307" ht="20" customHeight="1">
      <c r="A307" s="27" t="n"/>
      <c r="B307" s="28" t="n"/>
      <c r="C307" s="28" t="n"/>
      <c r="D307" s="28" t="n"/>
      <c r="E307" s="29" t="n"/>
      <c r="F307" s="29" t="n"/>
      <c r="G307" s="29">
        <f>IF(AND(ISNUMBER(E307),ISNUMBER(F307)),F307-E307,"")</f>
        <v/>
      </c>
      <c r="H307" s="30" t="n">
        <v>1</v>
      </c>
      <c r="I307" s="31">
        <f>IF(AND(ISNUMBER(G307),ISNUMBER(H307)),G307*H307,"")</f>
        <v/>
      </c>
      <c r="J307" s="32">
        <f>IF(ISNUMBER(I307),I307*MileRate,"")</f>
        <v/>
      </c>
      <c r="K307" s="28" t="n"/>
    </row>
    <row r="308" ht="20" customHeight="1">
      <c r="A308" s="27" t="n"/>
      <c r="B308" s="28" t="n"/>
      <c r="C308" s="28" t="n"/>
      <c r="D308" s="28" t="n"/>
      <c r="E308" s="29" t="n"/>
      <c r="F308" s="29" t="n"/>
      <c r="G308" s="29">
        <f>IF(AND(ISNUMBER(E308),ISNUMBER(F308)),F308-E308,"")</f>
        <v/>
      </c>
      <c r="H308" s="30" t="n">
        <v>1</v>
      </c>
      <c r="I308" s="31">
        <f>IF(AND(ISNUMBER(G308),ISNUMBER(H308)),G308*H308,"")</f>
        <v/>
      </c>
      <c r="J308" s="32">
        <f>IF(ISNUMBER(I308),I308*MileRate,"")</f>
        <v/>
      </c>
      <c r="K308" s="28" t="n"/>
    </row>
    <row r="309" ht="20" customHeight="1">
      <c r="A309" s="27" t="n"/>
      <c r="B309" s="28" t="n"/>
      <c r="C309" s="28" t="n"/>
      <c r="D309" s="28" t="n"/>
      <c r="E309" s="29" t="n"/>
      <c r="F309" s="29" t="n"/>
      <c r="G309" s="29">
        <f>IF(AND(ISNUMBER(E309),ISNUMBER(F309)),F309-E309,"")</f>
        <v/>
      </c>
      <c r="H309" s="30" t="n">
        <v>1</v>
      </c>
      <c r="I309" s="31">
        <f>IF(AND(ISNUMBER(G309),ISNUMBER(H309)),G309*H309,"")</f>
        <v/>
      </c>
      <c r="J309" s="32">
        <f>IF(ISNUMBER(I309),I309*MileRate,"")</f>
        <v/>
      </c>
      <c r="K309" s="28" t="n"/>
    </row>
    <row r="310" ht="20" customHeight="1">
      <c r="A310" s="27" t="n"/>
      <c r="B310" s="28" t="n"/>
      <c r="C310" s="28" t="n"/>
      <c r="D310" s="28" t="n"/>
      <c r="E310" s="29" t="n"/>
      <c r="F310" s="29" t="n"/>
      <c r="G310" s="29">
        <f>IF(AND(ISNUMBER(E310),ISNUMBER(F310)),F310-E310,"")</f>
        <v/>
      </c>
      <c r="H310" s="30" t="n">
        <v>1</v>
      </c>
      <c r="I310" s="31">
        <f>IF(AND(ISNUMBER(G310),ISNUMBER(H310)),G310*H310,"")</f>
        <v/>
      </c>
      <c r="J310" s="32">
        <f>IF(ISNUMBER(I310),I310*MileRate,"")</f>
        <v/>
      </c>
      <c r="K310" s="28" t="n"/>
    </row>
    <row r="311" ht="20" customHeight="1">
      <c r="A311" s="27" t="n"/>
      <c r="B311" s="28" t="n"/>
      <c r="C311" s="28" t="n"/>
      <c r="D311" s="28" t="n"/>
      <c r="E311" s="29" t="n"/>
      <c r="F311" s="29" t="n"/>
      <c r="G311" s="29">
        <f>IF(AND(ISNUMBER(E311),ISNUMBER(F311)),F311-E311,"")</f>
        <v/>
      </c>
      <c r="H311" s="30" t="n">
        <v>1</v>
      </c>
      <c r="I311" s="31">
        <f>IF(AND(ISNUMBER(G311),ISNUMBER(H311)),G311*H311,"")</f>
        <v/>
      </c>
      <c r="J311" s="32">
        <f>IF(ISNUMBER(I311),I311*MileRate,"")</f>
        <v/>
      </c>
      <c r="K311" s="28" t="n"/>
    </row>
    <row r="312" ht="20" customHeight="1">
      <c r="A312" s="27" t="n"/>
      <c r="B312" s="28" t="n"/>
      <c r="C312" s="28" t="n"/>
      <c r="D312" s="28" t="n"/>
      <c r="E312" s="29" t="n"/>
      <c r="F312" s="29" t="n"/>
      <c r="G312" s="29">
        <f>IF(AND(ISNUMBER(E312),ISNUMBER(F312)),F312-E312,"")</f>
        <v/>
      </c>
      <c r="H312" s="30" t="n">
        <v>1</v>
      </c>
      <c r="I312" s="31">
        <f>IF(AND(ISNUMBER(G312),ISNUMBER(H312)),G312*H312,"")</f>
        <v/>
      </c>
      <c r="J312" s="32">
        <f>IF(ISNUMBER(I312),I312*MileRate,"")</f>
        <v/>
      </c>
      <c r="K312" s="28" t="n"/>
    </row>
    <row r="313" ht="20" customHeight="1">
      <c r="A313" s="27" t="n"/>
      <c r="B313" s="28" t="n"/>
      <c r="C313" s="28" t="n"/>
      <c r="D313" s="28" t="n"/>
      <c r="E313" s="29" t="n"/>
      <c r="F313" s="29" t="n"/>
      <c r="G313" s="29">
        <f>IF(AND(ISNUMBER(E313),ISNUMBER(F313)),F313-E313,"")</f>
        <v/>
      </c>
      <c r="H313" s="30" t="n">
        <v>1</v>
      </c>
      <c r="I313" s="31">
        <f>IF(AND(ISNUMBER(G313),ISNUMBER(H313)),G313*H313,"")</f>
        <v/>
      </c>
      <c r="J313" s="32">
        <f>IF(ISNUMBER(I313),I313*MileRate,"")</f>
        <v/>
      </c>
      <c r="K313" s="28" t="n"/>
    </row>
    <row r="314" ht="20" customHeight="1">
      <c r="A314" s="27" t="n"/>
      <c r="B314" s="28" t="n"/>
      <c r="C314" s="28" t="n"/>
      <c r="D314" s="28" t="n"/>
      <c r="E314" s="29" t="n"/>
      <c r="F314" s="29" t="n"/>
      <c r="G314" s="29">
        <f>IF(AND(ISNUMBER(E314),ISNUMBER(F314)),F314-E314,"")</f>
        <v/>
      </c>
      <c r="H314" s="30" t="n">
        <v>1</v>
      </c>
      <c r="I314" s="31">
        <f>IF(AND(ISNUMBER(G314),ISNUMBER(H314)),G314*H314,"")</f>
        <v/>
      </c>
      <c r="J314" s="32">
        <f>IF(ISNUMBER(I314),I314*MileRate,"")</f>
        <v/>
      </c>
      <c r="K314" s="28" t="n"/>
    </row>
    <row r="315" ht="20" customHeight="1">
      <c r="A315" s="27" t="n"/>
      <c r="B315" s="28" t="n"/>
      <c r="C315" s="28" t="n"/>
      <c r="D315" s="28" t="n"/>
      <c r="E315" s="29" t="n"/>
      <c r="F315" s="29" t="n"/>
      <c r="G315" s="29">
        <f>IF(AND(ISNUMBER(E315),ISNUMBER(F315)),F315-E315,"")</f>
        <v/>
      </c>
      <c r="H315" s="30" t="n">
        <v>1</v>
      </c>
      <c r="I315" s="31">
        <f>IF(AND(ISNUMBER(G315),ISNUMBER(H315)),G315*H315,"")</f>
        <v/>
      </c>
      <c r="J315" s="32">
        <f>IF(ISNUMBER(I315),I315*MileRate,"")</f>
        <v/>
      </c>
      <c r="K315" s="28" t="n"/>
    </row>
    <row r="316" ht="20" customHeight="1">
      <c r="A316" s="27" t="n"/>
      <c r="B316" s="28" t="n"/>
      <c r="C316" s="28" t="n"/>
      <c r="D316" s="28" t="n"/>
      <c r="E316" s="29" t="n"/>
      <c r="F316" s="29" t="n"/>
      <c r="G316" s="29">
        <f>IF(AND(ISNUMBER(E316),ISNUMBER(F316)),F316-E316,"")</f>
        <v/>
      </c>
      <c r="H316" s="30" t="n">
        <v>1</v>
      </c>
      <c r="I316" s="31">
        <f>IF(AND(ISNUMBER(G316),ISNUMBER(H316)),G316*H316,"")</f>
        <v/>
      </c>
      <c r="J316" s="32">
        <f>IF(ISNUMBER(I316),I316*MileRate,"")</f>
        <v/>
      </c>
      <c r="K316" s="28" t="n"/>
    </row>
    <row r="317" ht="20" customHeight="1">
      <c r="A317" s="27" t="n"/>
      <c r="B317" s="28" t="n"/>
      <c r="C317" s="28" t="n"/>
      <c r="D317" s="28" t="n"/>
      <c r="E317" s="29" t="n"/>
      <c r="F317" s="29" t="n"/>
      <c r="G317" s="29">
        <f>IF(AND(ISNUMBER(E317),ISNUMBER(F317)),F317-E317,"")</f>
        <v/>
      </c>
      <c r="H317" s="30" t="n">
        <v>1</v>
      </c>
      <c r="I317" s="31">
        <f>IF(AND(ISNUMBER(G317),ISNUMBER(H317)),G317*H317,"")</f>
        <v/>
      </c>
      <c r="J317" s="32">
        <f>IF(ISNUMBER(I317),I317*MileRate,"")</f>
        <v/>
      </c>
      <c r="K317" s="28" t="n"/>
    </row>
    <row r="318" ht="20" customHeight="1">
      <c r="A318" s="27" t="n"/>
      <c r="B318" s="28" t="n"/>
      <c r="C318" s="28" t="n"/>
      <c r="D318" s="28" t="n"/>
      <c r="E318" s="29" t="n"/>
      <c r="F318" s="29" t="n"/>
      <c r="G318" s="29">
        <f>IF(AND(ISNUMBER(E318),ISNUMBER(F318)),F318-E318,"")</f>
        <v/>
      </c>
      <c r="H318" s="30" t="n">
        <v>1</v>
      </c>
      <c r="I318" s="31">
        <f>IF(AND(ISNUMBER(G318),ISNUMBER(H318)),G318*H318,"")</f>
        <v/>
      </c>
      <c r="J318" s="32">
        <f>IF(ISNUMBER(I318),I318*MileRate,"")</f>
        <v/>
      </c>
      <c r="K318" s="28" t="n"/>
    </row>
    <row r="319" ht="20" customHeight="1">
      <c r="A319" s="27" t="n"/>
      <c r="B319" s="28" t="n"/>
      <c r="C319" s="28" t="n"/>
      <c r="D319" s="28" t="n"/>
      <c r="E319" s="29" t="n"/>
      <c r="F319" s="29" t="n"/>
      <c r="G319" s="29">
        <f>IF(AND(ISNUMBER(E319),ISNUMBER(F319)),F319-E319,"")</f>
        <v/>
      </c>
      <c r="H319" s="30" t="n">
        <v>1</v>
      </c>
      <c r="I319" s="31">
        <f>IF(AND(ISNUMBER(G319),ISNUMBER(H319)),G319*H319,"")</f>
        <v/>
      </c>
      <c r="J319" s="32">
        <f>IF(ISNUMBER(I319),I319*MileRate,"")</f>
        <v/>
      </c>
      <c r="K319" s="28" t="n"/>
    </row>
    <row r="320" ht="20" customHeight="1">
      <c r="A320" s="27" t="n"/>
      <c r="B320" s="28" t="n"/>
      <c r="C320" s="28" t="n"/>
      <c r="D320" s="28" t="n"/>
      <c r="E320" s="29" t="n"/>
      <c r="F320" s="29" t="n"/>
      <c r="G320" s="29">
        <f>IF(AND(ISNUMBER(E320),ISNUMBER(F320)),F320-E320,"")</f>
        <v/>
      </c>
      <c r="H320" s="30" t="n">
        <v>1</v>
      </c>
      <c r="I320" s="31">
        <f>IF(AND(ISNUMBER(G320),ISNUMBER(H320)),G320*H320,"")</f>
        <v/>
      </c>
      <c r="J320" s="32">
        <f>IF(ISNUMBER(I320),I320*MileRate,"")</f>
        <v/>
      </c>
      <c r="K320" s="28" t="n"/>
    </row>
    <row r="321" ht="20" customHeight="1">
      <c r="A321" s="27" t="n"/>
      <c r="B321" s="28" t="n"/>
      <c r="C321" s="28" t="n"/>
      <c r="D321" s="28" t="n"/>
      <c r="E321" s="29" t="n"/>
      <c r="F321" s="29" t="n"/>
      <c r="G321" s="29">
        <f>IF(AND(ISNUMBER(E321),ISNUMBER(F321)),F321-E321,"")</f>
        <v/>
      </c>
      <c r="H321" s="30" t="n">
        <v>1</v>
      </c>
      <c r="I321" s="31">
        <f>IF(AND(ISNUMBER(G321),ISNUMBER(H321)),G321*H321,"")</f>
        <v/>
      </c>
      <c r="J321" s="32">
        <f>IF(ISNUMBER(I321),I321*MileRate,"")</f>
        <v/>
      </c>
      <c r="K321" s="28" t="n"/>
    </row>
    <row r="322" ht="20" customHeight="1">
      <c r="A322" s="27" t="n"/>
      <c r="B322" s="28" t="n"/>
      <c r="C322" s="28" t="n"/>
      <c r="D322" s="28" t="n"/>
      <c r="E322" s="29" t="n"/>
      <c r="F322" s="29" t="n"/>
      <c r="G322" s="29">
        <f>IF(AND(ISNUMBER(E322),ISNUMBER(F322)),F322-E322,"")</f>
        <v/>
      </c>
      <c r="H322" s="30" t="n">
        <v>1</v>
      </c>
      <c r="I322" s="31">
        <f>IF(AND(ISNUMBER(G322),ISNUMBER(H322)),G322*H322,"")</f>
        <v/>
      </c>
      <c r="J322" s="32">
        <f>IF(ISNUMBER(I322),I322*MileRate,"")</f>
        <v/>
      </c>
      <c r="K322" s="28" t="n"/>
    </row>
    <row r="323" ht="20" customHeight="1">
      <c r="A323" s="27" t="n"/>
      <c r="B323" s="28" t="n"/>
      <c r="C323" s="28" t="n"/>
      <c r="D323" s="28" t="n"/>
      <c r="E323" s="29" t="n"/>
      <c r="F323" s="29" t="n"/>
      <c r="G323" s="29">
        <f>IF(AND(ISNUMBER(E323),ISNUMBER(F323)),F323-E323,"")</f>
        <v/>
      </c>
      <c r="H323" s="30" t="n">
        <v>1</v>
      </c>
      <c r="I323" s="31">
        <f>IF(AND(ISNUMBER(G323),ISNUMBER(H323)),G323*H323,"")</f>
        <v/>
      </c>
      <c r="J323" s="32">
        <f>IF(ISNUMBER(I323),I323*MileRate,"")</f>
        <v/>
      </c>
      <c r="K323" s="28" t="n"/>
    </row>
    <row r="324" ht="20" customHeight="1">
      <c r="A324" s="27" t="n"/>
      <c r="B324" s="28" t="n"/>
      <c r="C324" s="28" t="n"/>
      <c r="D324" s="28" t="n"/>
      <c r="E324" s="29" t="n"/>
      <c r="F324" s="29" t="n"/>
      <c r="G324" s="29">
        <f>IF(AND(ISNUMBER(E324),ISNUMBER(F324)),F324-E324,"")</f>
        <v/>
      </c>
      <c r="H324" s="30" t="n">
        <v>1</v>
      </c>
      <c r="I324" s="31">
        <f>IF(AND(ISNUMBER(G324),ISNUMBER(H324)),G324*H324,"")</f>
        <v/>
      </c>
      <c r="J324" s="32">
        <f>IF(ISNUMBER(I324),I324*MileRate,"")</f>
        <v/>
      </c>
      <c r="K324" s="28" t="n"/>
    </row>
    <row r="325" ht="20" customHeight="1">
      <c r="A325" s="27" t="n"/>
      <c r="B325" s="28" t="n"/>
      <c r="C325" s="28" t="n"/>
      <c r="D325" s="28" t="n"/>
      <c r="E325" s="29" t="n"/>
      <c r="F325" s="29" t="n"/>
      <c r="G325" s="29">
        <f>IF(AND(ISNUMBER(E325),ISNUMBER(F325)),F325-E325,"")</f>
        <v/>
      </c>
      <c r="H325" s="30" t="n">
        <v>1</v>
      </c>
      <c r="I325" s="31">
        <f>IF(AND(ISNUMBER(G325),ISNUMBER(H325)),G325*H325,"")</f>
        <v/>
      </c>
      <c r="J325" s="32">
        <f>IF(ISNUMBER(I325),I325*MileRate,"")</f>
        <v/>
      </c>
      <c r="K325" s="28" t="n"/>
    </row>
    <row r="326" ht="20" customHeight="1">
      <c r="A326" s="27" t="n"/>
      <c r="B326" s="28" t="n"/>
      <c r="C326" s="28" t="n"/>
      <c r="D326" s="28" t="n"/>
      <c r="E326" s="29" t="n"/>
      <c r="F326" s="29" t="n"/>
      <c r="G326" s="29">
        <f>IF(AND(ISNUMBER(E326),ISNUMBER(F326)),F326-E326,"")</f>
        <v/>
      </c>
      <c r="H326" s="30" t="n">
        <v>1</v>
      </c>
      <c r="I326" s="31">
        <f>IF(AND(ISNUMBER(G326),ISNUMBER(H326)),G326*H326,"")</f>
        <v/>
      </c>
      <c r="J326" s="32">
        <f>IF(ISNUMBER(I326),I326*MileRate,"")</f>
        <v/>
      </c>
      <c r="K326" s="28" t="n"/>
    </row>
    <row r="327" ht="20" customHeight="1">
      <c r="A327" s="27" t="n"/>
      <c r="B327" s="28" t="n"/>
      <c r="C327" s="28" t="n"/>
      <c r="D327" s="28" t="n"/>
      <c r="E327" s="29" t="n"/>
      <c r="F327" s="29" t="n"/>
      <c r="G327" s="29">
        <f>IF(AND(ISNUMBER(E327),ISNUMBER(F327)),F327-E327,"")</f>
        <v/>
      </c>
      <c r="H327" s="30" t="n">
        <v>1</v>
      </c>
      <c r="I327" s="31">
        <f>IF(AND(ISNUMBER(G327),ISNUMBER(H327)),G327*H327,"")</f>
        <v/>
      </c>
      <c r="J327" s="32">
        <f>IF(ISNUMBER(I327),I327*MileRate,"")</f>
        <v/>
      </c>
      <c r="K327" s="28" t="n"/>
    </row>
    <row r="328" ht="20" customHeight="1">
      <c r="A328" s="27" t="n"/>
      <c r="B328" s="28" t="n"/>
      <c r="C328" s="28" t="n"/>
      <c r="D328" s="28" t="n"/>
      <c r="E328" s="29" t="n"/>
      <c r="F328" s="29" t="n"/>
      <c r="G328" s="29">
        <f>IF(AND(ISNUMBER(E328),ISNUMBER(F328)),F328-E328,"")</f>
        <v/>
      </c>
      <c r="H328" s="30" t="n">
        <v>1</v>
      </c>
      <c r="I328" s="31">
        <f>IF(AND(ISNUMBER(G328),ISNUMBER(H328)),G328*H328,"")</f>
        <v/>
      </c>
      <c r="J328" s="32">
        <f>IF(ISNUMBER(I328),I328*MileRate,"")</f>
        <v/>
      </c>
      <c r="K328" s="28" t="n"/>
    </row>
    <row r="329" ht="20" customHeight="1">
      <c r="A329" s="27" t="n"/>
      <c r="B329" s="28" t="n"/>
      <c r="C329" s="28" t="n"/>
      <c r="D329" s="28" t="n"/>
      <c r="E329" s="29" t="n"/>
      <c r="F329" s="29" t="n"/>
      <c r="G329" s="29">
        <f>IF(AND(ISNUMBER(E329),ISNUMBER(F329)),F329-E329,"")</f>
        <v/>
      </c>
      <c r="H329" s="30" t="n">
        <v>1</v>
      </c>
      <c r="I329" s="31">
        <f>IF(AND(ISNUMBER(G329),ISNUMBER(H329)),G329*H329,"")</f>
        <v/>
      </c>
      <c r="J329" s="32">
        <f>IF(ISNUMBER(I329),I329*MileRate,"")</f>
        <v/>
      </c>
      <c r="K329" s="28" t="n"/>
    </row>
    <row r="330" ht="20" customHeight="1">
      <c r="A330" s="27" t="n"/>
      <c r="B330" s="28" t="n"/>
      <c r="C330" s="28" t="n"/>
      <c r="D330" s="28" t="n"/>
      <c r="E330" s="29" t="n"/>
      <c r="F330" s="29" t="n"/>
      <c r="G330" s="29">
        <f>IF(AND(ISNUMBER(E330),ISNUMBER(F330)),F330-E330,"")</f>
        <v/>
      </c>
      <c r="H330" s="30" t="n">
        <v>1</v>
      </c>
      <c r="I330" s="31">
        <f>IF(AND(ISNUMBER(G330),ISNUMBER(H330)),G330*H330,"")</f>
        <v/>
      </c>
      <c r="J330" s="32">
        <f>IF(ISNUMBER(I330),I330*MileRate,"")</f>
        <v/>
      </c>
      <c r="K330" s="28" t="n"/>
    </row>
    <row r="331" ht="20" customHeight="1">
      <c r="A331" s="27" t="n"/>
      <c r="B331" s="28" t="n"/>
      <c r="C331" s="28" t="n"/>
      <c r="D331" s="28" t="n"/>
      <c r="E331" s="29" t="n"/>
      <c r="F331" s="29" t="n"/>
      <c r="G331" s="29">
        <f>IF(AND(ISNUMBER(E331),ISNUMBER(F331)),F331-E331,"")</f>
        <v/>
      </c>
      <c r="H331" s="30" t="n">
        <v>1</v>
      </c>
      <c r="I331" s="31">
        <f>IF(AND(ISNUMBER(G331),ISNUMBER(H331)),G331*H331,"")</f>
        <v/>
      </c>
      <c r="J331" s="32">
        <f>IF(ISNUMBER(I331),I331*MileRate,"")</f>
        <v/>
      </c>
      <c r="K331" s="28" t="n"/>
    </row>
    <row r="332" ht="20" customHeight="1">
      <c r="A332" s="27" t="n"/>
      <c r="B332" s="28" t="n"/>
      <c r="C332" s="28" t="n"/>
      <c r="D332" s="28" t="n"/>
      <c r="E332" s="29" t="n"/>
      <c r="F332" s="29" t="n"/>
      <c r="G332" s="29">
        <f>IF(AND(ISNUMBER(E332),ISNUMBER(F332)),F332-E332,"")</f>
        <v/>
      </c>
      <c r="H332" s="30" t="n">
        <v>1</v>
      </c>
      <c r="I332" s="31">
        <f>IF(AND(ISNUMBER(G332),ISNUMBER(H332)),G332*H332,"")</f>
        <v/>
      </c>
      <c r="J332" s="32">
        <f>IF(ISNUMBER(I332),I332*MileRate,"")</f>
        <v/>
      </c>
      <c r="K332" s="28" t="n"/>
    </row>
    <row r="333" ht="20" customHeight="1">
      <c r="A333" s="27" t="n"/>
      <c r="B333" s="28" t="n"/>
      <c r="C333" s="28" t="n"/>
      <c r="D333" s="28" t="n"/>
      <c r="E333" s="29" t="n"/>
      <c r="F333" s="29" t="n"/>
      <c r="G333" s="29">
        <f>IF(AND(ISNUMBER(E333),ISNUMBER(F333)),F333-E333,"")</f>
        <v/>
      </c>
      <c r="H333" s="30" t="n">
        <v>1</v>
      </c>
      <c r="I333" s="31">
        <f>IF(AND(ISNUMBER(G333),ISNUMBER(H333)),G333*H333,"")</f>
        <v/>
      </c>
      <c r="J333" s="32">
        <f>IF(ISNUMBER(I333),I333*MileRate,"")</f>
        <v/>
      </c>
      <c r="K333" s="28" t="n"/>
    </row>
    <row r="334" ht="20" customHeight="1">
      <c r="A334" s="27" t="n"/>
      <c r="B334" s="28" t="n"/>
      <c r="C334" s="28" t="n"/>
      <c r="D334" s="28" t="n"/>
      <c r="E334" s="29" t="n"/>
      <c r="F334" s="29" t="n"/>
      <c r="G334" s="29">
        <f>IF(AND(ISNUMBER(E334),ISNUMBER(F334)),F334-E334,"")</f>
        <v/>
      </c>
      <c r="H334" s="30" t="n">
        <v>1</v>
      </c>
      <c r="I334" s="31">
        <f>IF(AND(ISNUMBER(G334),ISNUMBER(H334)),G334*H334,"")</f>
        <v/>
      </c>
      <c r="J334" s="32">
        <f>IF(ISNUMBER(I334),I334*MileRate,"")</f>
        <v/>
      </c>
      <c r="K334" s="28" t="n"/>
    </row>
    <row r="335" ht="20" customHeight="1">
      <c r="A335" s="27" t="n"/>
      <c r="B335" s="28" t="n"/>
      <c r="C335" s="28" t="n"/>
      <c r="D335" s="28" t="n"/>
      <c r="E335" s="29" t="n"/>
      <c r="F335" s="29" t="n"/>
      <c r="G335" s="29">
        <f>IF(AND(ISNUMBER(E335),ISNUMBER(F335)),F335-E335,"")</f>
        <v/>
      </c>
      <c r="H335" s="30" t="n">
        <v>1</v>
      </c>
      <c r="I335" s="31">
        <f>IF(AND(ISNUMBER(G335),ISNUMBER(H335)),G335*H335,"")</f>
        <v/>
      </c>
      <c r="J335" s="32">
        <f>IF(ISNUMBER(I335),I335*MileRate,"")</f>
        <v/>
      </c>
      <c r="K335" s="28" t="n"/>
    </row>
    <row r="336" ht="20" customHeight="1">
      <c r="A336" s="27" t="n"/>
      <c r="B336" s="28" t="n"/>
      <c r="C336" s="28" t="n"/>
      <c r="D336" s="28" t="n"/>
      <c r="E336" s="29" t="n"/>
      <c r="F336" s="29" t="n"/>
      <c r="G336" s="29">
        <f>IF(AND(ISNUMBER(E336),ISNUMBER(F336)),F336-E336,"")</f>
        <v/>
      </c>
      <c r="H336" s="30" t="n">
        <v>1</v>
      </c>
      <c r="I336" s="31">
        <f>IF(AND(ISNUMBER(G336),ISNUMBER(H336)),G336*H336,"")</f>
        <v/>
      </c>
      <c r="J336" s="32">
        <f>IF(ISNUMBER(I336),I336*MileRate,"")</f>
        <v/>
      </c>
      <c r="K336" s="28" t="n"/>
    </row>
    <row r="337" ht="20" customHeight="1">
      <c r="A337" s="27" t="n"/>
      <c r="B337" s="28" t="n"/>
      <c r="C337" s="28" t="n"/>
      <c r="D337" s="28" t="n"/>
      <c r="E337" s="29" t="n"/>
      <c r="F337" s="29" t="n"/>
      <c r="G337" s="29">
        <f>IF(AND(ISNUMBER(E337),ISNUMBER(F337)),F337-E337,"")</f>
        <v/>
      </c>
      <c r="H337" s="30" t="n">
        <v>1</v>
      </c>
      <c r="I337" s="31">
        <f>IF(AND(ISNUMBER(G337),ISNUMBER(H337)),G337*H337,"")</f>
        <v/>
      </c>
      <c r="J337" s="32">
        <f>IF(ISNUMBER(I337),I337*MileRate,"")</f>
        <v/>
      </c>
      <c r="K337" s="28" t="n"/>
    </row>
    <row r="338" ht="20" customHeight="1">
      <c r="A338" s="27" t="n"/>
      <c r="B338" s="28" t="n"/>
      <c r="C338" s="28" t="n"/>
      <c r="D338" s="28" t="n"/>
      <c r="E338" s="29" t="n"/>
      <c r="F338" s="29" t="n"/>
      <c r="G338" s="29">
        <f>IF(AND(ISNUMBER(E338),ISNUMBER(F338)),F338-E338,"")</f>
        <v/>
      </c>
      <c r="H338" s="30" t="n">
        <v>1</v>
      </c>
      <c r="I338" s="31">
        <f>IF(AND(ISNUMBER(G338),ISNUMBER(H338)),G338*H338,"")</f>
        <v/>
      </c>
      <c r="J338" s="32">
        <f>IF(ISNUMBER(I338),I338*MileRate,"")</f>
        <v/>
      </c>
      <c r="K338" s="28" t="n"/>
    </row>
    <row r="339" ht="20" customHeight="1">
      <c r="A339" s="27" t="n"/>
      <c r="B339" s="28" t="n"/>
      <c r="C339" s="28" t="n"/>
      <c r="D339" s="28" t="n"/>
      <c r="E339" s="29" t="n"/>
      <c r="F339" s="29" t="n"/>
      <c r="G339" s="29">
        <f>IF(AND(ISNUMBER(E339),ISNUMBER(F339)),F339-E339,"")</f>
        <v/>
      </c>
      <c r="H339" s="30" t="n">
        <v>1</v>
      </c>
      <c r="I339" s="31">
        <f>IF(AND(ISNUMBER(G339),ISNUMBER(H339)),G339*H339,"")</f>
        <v/>
      </c>
      <c r="J339" s="32">
        <f>IF(ISNUMBER(I339),I339*MileRate,"")</f>
        <v/>
      </c>
      <c r="K339" s="28" t="n"/>
    </row>
    <row r="340" ht="20" customHeight="1">
      <c r="A340" s="27" t="n"/>
      <c r="B340" s="28" t="n"/>
      <c r="C340" s="28" t="n"/>
      <c r="D340" s="28" t="n"/>
      <c r="E340" s="29" t="n"/>
      <c r="F340" s="29" t="n"/>
      <c r="G340" s="29">
        <f>IF(AND(ISNUMBER(E340),ISNUMBER(F340)),F340-E340,"")</f>
        <v/>
      </c>
      <c r="H340" s="30" t="n">
        <v>1</v>
      </c>
      <c r="I340" s="31">
        <f>IF(AND(ISNUMBER(G340),ISNUMBER(H340)),G340*H340,"")</f>
        <v/>
      </c>
      <c r="J340" s="32">
        <f>IF(ISNUMBER(I340),I340*MileRate,"")</f>
        <v/>
      </c>
      <c r="K340" s="28" t="n"/>
    </row>
    <row r="341" ht="20" customHeight="1">
      <c r="A341" s="27" t="n"/>
      <c r="B341" s="28" t="n"/>
      <c r="C341" s="28" t="n"/>
      <c r="D341" s="28" t="n"/>
      <c r="E341" s="29" t="n"/>
      <c r="F341" s="29" t="n"/>
      <c r="G341" s="29">
        <f>IF(AND(ISNUMBER(E341),ISNUMBER(F341)),F341-E341,"")</f>
        <v/>
      </c>
      <c r="H341" s="30" t="n">
        <v>1</v>
      </c>
      <c r="I341" s="31">
        <f>IF(AND(ISNUMBER(G341),ISNUMBER(H341)),G341*H341,"")</f>
        <v/>
      </c>
      <c r="J341" s="32">
        <f>IF(ISNUMBER(I341),I341*MileRate,"")</f>
        <v/>
      </c>
      <c r="K341" s="28" t="n"/>
    </row>
    <row r="342" ht="20" customHeight="1">
      <c r="A342" s="27" t="n"/>
      <c r="B342" s="28" t="n"/>
      <c r="C342" s="28" t="n"/>
      <c r="D342" s="28" t="n"/>
      <c r="E342" s="29" t="n"/>
      <c r="F342" s="29" t="n"/>
      <c r="G342" s="29">
        <f>IF(AND(ISNUMBER(E342),ISNUMBER(F342)),F342-E342,"")</f>
        <v/>
      </c>
      <c r="H342" s="30" t="n">
        <v>1</v>
      </c>
      <c r="I342" s="31">
        <f>IF(AND(ISNUMBER(G342),ISNUMBER(H342)),G342*H342,"")</f>
        <v/>
      </c>
      <c r="J342" s="32">
        <f>IF(ISNUMBER(I342),I342*MileRate,"")</f>
        <v/>
      </c>
      <c r="K342" s="28" t="n"/>
    </row>
    <row r="343" ht="20" customHeight="1">
      <c r="A343" s="27" t="n"/>
      <c r="B343" s="28" t="n"/>
      <c r="C343" s="28" t="n"/>
      <c r="D343" s="28" t="n"/>
      <c r="E343" s="29" t="n"/>
      <c r="F343" s="29" t="n"/>
      <c r="G343" s="29">
        <f>IF(AND(ISNUMBER(E343),ISNUMBER(F343)),F343-E343,"")</f>
        <v/>
      </c>
      <c r="H343" s="30" t="n">
        <v>1</v>
      </c>
      <c r="I343" s="31">
        <f>IF(AND(ISNUMBER(G343),ISNUMBER(H343)),G343*H343,"")</f>
        <v/>
      </c>
      <c r="J343" s="32">
        <f>IF(ISNUMBER(I343),I343*MileRate,"")</f>
        <v/>
      </c>
      <c r="K343" s="28" t="n"/>
    </row>
    <row r="344" ht="20" customHeight="1">
      <c r="A344" s="27" t="n"/>
      <c r="B344" s="28" t="n"/>
      <c r="C344" s="28" t="n"/>
      <c r="D344" s="28" t="n"/>
      <c r="E344" s="29" t="n"/>
      <c r="F344" s="29" t="n"/>
      <c r="G344" s="29">
        <f>IF(AND(ISNUMBER(E344),ISNUMBER(F344)),F344-E344,"")</f>
        <v/>
      </c>
      <c r="H344" s="30" t="n">
        <v>1</v>
      </c>
      <c r="I344" s="31">
        <f>IF(AND(ISNUMBER(G344),ISNUMBER(H344)),G344*H344,"")</f>
        <v/>
      </c>
      <c r="J344" s="32">
        <f>IF(ISNUMBER(I344),I344*MileRate,"")</f>
        <v/>
      </c>
      <c r="K344" s="28" t="n"/>
    </row>
    <row r="345" ht="20" customHeight="1">
      <c r="A345" s="27" t="n"/>
      <c r="B345" s="28" t="n"/>
      <c r="C345" s="28" t="n"/>
      <c r="D345" s="28" t="n"/>
      <c r="E345" s="29" t="n"/>
      <c r="F345" s="29" t="n"/>
      <c r="G345" s="29">
        <f>IF(AND(ISNUMBER(E345),ISNUMBER(F345)),F345-E345,"")</f>
        <v/>
      </c>
      <c r="H345" s="30" t="n">
        <v>1</v>
      </c>
      <c r="I345" s="31">
        <f>IF(AND(ISNUMBER(G345),ISNUMBER(H345)),G345*H345,"")</f>
        <v/>
      </c>
      <c r="J345" s="32">
        <f>IF(ISNUMBER(I345),I345*MileRate,"")</f>
        <v/>
      </c>
      <c r="K345" s="28" t="n"/>
    </row>
    <row r="346" ht="20" customHeight="1">
      <c r="A346" s="27" t="n"/>
      <c r="B346" s="28" t="n"/>
      <c r="C346" s="28" t="n"/>
      <c r="D346" s="28" t="n"/>
      <c r="E346" s="29" t="n"/>
      <c r="F346" s="29" t="n"/>
      <c r="G346" s="29">
        <f>IF(AND(ISNUMBER(E346),ISNUMBER(F346)),F346-E346,"")</f>
        <v/>
      </c>
      <c r="H346" s="30" t="n">
        <v>1</v>
      </c>
      <c r="I346" s="31">
        <f>IF(AND(ISNUMBER(G346),ISNUMBER(H346)),G346*H346,"")</f>
        <v/>
      </c>
      <c r="J346" s="32">
        <f>IF(ISNUMBER(I346),I346*MileRate,"")</f>
        <v/>
      </c>
      <c r="K346" s="28" t="n"/>
    </row>
    <row r="347" ht="20" customHeight="1">
      <c r="A347" s="27" t="n"/>
      <c r="B347" s="28" t="n"/>
      <c r="C347" s="28" t="n"/>
      <c r="D347" s="28" t="n"/>
      <c r="E347" s="29" t="n"/>
      <c r="F347" s="29" t="n"/>
      <c r="G347" s="29">
        <f>IF(AND(ISNUMBER(E347),ISNUMBER(F347)),F347-E347,"")</f>
        <v/>
      </c>
      <c r="H347" s="30" t="n">
        <v>1</v>
      </c>
      <c r="I347" s="31">
        <f>IF(AND(ISNUMBER(G347),ISNUMBER(H347)),G347*H347,"")</f>
        <v/>
      </c>
      <c r="J347" s="32">
        <f>IF(ISNUMBER(I347),I347*MileRate,"")</f>
        <v/>
      </c>
      <c r="K347" s="28" t="n"/>
    </row>
    <row r="348" ht="20" customHeight="1">
      <c r="A348" s="27" t="n"/>
      <c r="B348" s="28" t="n"/>
      <c r="C348" s="28" t="n"/>
      <c r="D348" s="28" t="n"/>
      <c r="E348" s="29" t="n"/>
      <c r="F348" s="29" t="n"/>
      <c r="G348" s="29">
        <f>IF(AND(ISNUMBER(E348),ISNUMBER(F348)),F348-E348,"")</f>
        <v/>
      </c>
      <c r="H348" s="30" t="n">
        <v>1</v>
      </c>
      <c r="I348" s="31">
        <f>IF(AND(ISNUMBER(G348),ISNUMBER(H348)),G348*H348,"")</f>
        <v/>
      </c>
      <c r="J348" s="32">
        <f>IF(ISNUMBER(I348),I348*MileRate,"")</f>
        <v/>
      </c>
      <c r="K348" s="28" t="n"/>
    </row>
    <row r="349" ht="20" customHeight="1">
      <c r="A349" s="27" t="n"/>
      <c r="B349" s="28" t="n"/>
      <c r="C349" s="28" t="n"/>
      <c r="D349" s="28" t="n"/>
      <c r="E349" s="29" t="n"/>
      <c r="F349" s="29" t="n"/>
      <c r="G349" s="29">
        <f>IF(AND(ISNUMBER(E349),ISNUMBER(F349)),F349-E349,"")</f>
        <v/>
      </c>
      <c r="H349" s="30" t="n">
        <v>1</v>
      </c>
      <c r="I349" s="31">
        <f>IF(AND(ISNUMBER(G349),ISNUMBER(H349)),G349*H349,"")</f>
        <v/>
      </c>
      <c r="J349" s="32">
        <f>IF(ISNUMBER(I349),I349*MileRate,"")</f>
        <v/>
      </c>
      <c r="K349" s="28" t="n"/>
    </row>
    <row r="350" ht="20" customHeight="1">
      <c r="A350" s="27" t="n"/>
      <c r="B350" s="28" t="n"/>
      <c r="C350" s="28" t="n"/>
      <c r="D350" s="28" t="n"/>
      <c r="E350" s="29" t="n"/>
      <c r="F350" s="29" t="n"/>
      <c r="G350" s="29">
        <f>IF(AND(ISNUMBER(E350),ISNUMBER(F350)),F350-E350,"")</f>
        <v/>
      </c>
      <c r="H350" s="30" t="n">
        <v>1</v>
      </c>
      <c r="I350" s="31">
        <f>IF(AND(ISNUMBER(G350),ISNUMBER(H350)),G350*H350,"")</f>
        <v/>
      </c>
      <c r="J350" s="32">
        <f>IF(ISNUMBER(I350),I350*MileRate,"")</f>
        <v/>
      </c>
      <c r="K350" s="28" t="n"/>
    </row>
    <row r="351" ht="20" customHeight="1">
      <c r="A351" s="27" t="n"/>
      <c r="B351" s="28" t="n"/>
      <c r="C351" s="28" t="n"/>
      <c r="D351" s="28" t="n"/>
      <c r="E351" s="29" t="n"/>
      <c r="F351" s="29" t="n"/>
      <c r="G351" s="29">
        <f>IF(AND(ISNUMBER(E351),ISNUMBER(F351)),F351-E351,"")</f>
        <v/>
      </c>
      <c r="H351" s="30" t="n">
        <v>1</v>
      </c>
      <c r="I351" s="31">
        <f>IF(AND(ISNUMBER(G351),ISNUMBER(H351)),G351*H351,"")</f>
        <v/>
      </c>
      <c r="J351" s="32">
        <f>IF(ISNUMBER(I351),I351*MileRate,"")</f>
        <v/>
      </c>
      <c r="K351" s="28" t="n"/>
    </row>
    <row r="352" ht="20" customHeight="1">
      <c r="A352" s="27" t="n"/>
      <c r="B352" s="28" t="n"/>
      <c r="C352" s="28" t="n"/>
      <c r="D352" s="28" t="n"/>
      <c r="E352" s="29" t="n"/>
      <c r="F352" s="29" t="n"/>
      <c r="G352" s="29">
        <f>IF(AND(ISNUMBER(E352),ISNUMBER(F352)),F352-E352,"")</f>
        <v/>
      </c>
      <c r="H352" s="30" t="n">
        <v>1</v>
      </c>
      <c r="I352" s="31">
        <f>IF(AND(ISNUMBER(G352),ISNUMBER(H352)),G352*H352,"")</f>
        <v/>
      </c>
      <c r="J352" s="32">
        <f>IF(ISNUMBER(I352),I352*MileRate,"")</f>
        <v/>
      </c>
      <c r="K352" s="28" t="n"/>
    </row>
    <row r="353" ht="20" customHeight="1">
      <c r="A353" s="27" t="n"/>
      <c r="B353" s="28" t="n"/>
      <c r="C353" s="28" t="n"/>
      <c r="D353" s="28" t="n"/>
      <c r="E353" s="29" t="n"/>
      <c r="F353" s="29" t="n"/>
      <c r="G353" s="29">
        <f>IF(AND(ISNUMBER(E353),ISNUMBER(F353)),F353-E353,"")</f>
        <v/>
      </c>
      <c r="H353" s="30" t="n">
        <v>1</v>
      </c>
      <c r="I353" s="31">
        <f>IF(AND(ISNUMBER(G353),ISNUMBER(H353)),G353*H353,"")</f>
        <v/>
      </c>
      <c r="J353" s="32">
        <f>IF(ISNUMBER(I353),I353*MileRate,"")</f>
        <v/>
      </c>
      <c r="K353" s="28" t="n"/>
    </row>
    <row r="354" ht="20" customHeight="1">
      <c r="A354" s="27" t="n"/>
      <c r="B354" s="28" t="n"/>
      <c r="C354" s="28" t="n"/>
      <c r="D354" s="28" t="n"/>
      <c r="E354" s="29" t="n"/>
      <c r="F354" s="29" t="n"/>
      <c r="G354" s="29">
        <f>IF(AND(ISNUMBER(E354),ISNUMBER(F354)),F354-E354,"")</f>
        <v/>
      </c>
      <c r="H354" s="30" t="n">
        <v>1</v>
      </c>
      <c r="I354" s="31">
        <f>IF(AND(ISNUMBER(G354),ISNUMBER(H354)),G354*H354,"")</f>
        <v/>
      </c>
      <c r="J354" s="32">
        <f>IF(ISNUMBER(I354),I354*MileRate,"")</f>
        <v/>
      </c>
      <c r="K354" s="28" t="n"/>
    </row>
    <row r="355" ht="20" customHeight="1">
      <c r="A355" s="27" t="n"/>
      <c r="B355" s="28" t="n"/>
      <c r="C355" s="28" t="n"/>
      <c r="D355" s="28" t="n"/>
      <c r="E355" s="29" t="n"/>
      <c r="F355" s="29" t="n"/>
      <c r="G355" s="29">
        <f>IF(AND(ISNUMBER(E355),ISNUMBER(F355)),F355-E355,"")</f>
        <v/>
      </c>
      <c r="H355" s="30" t="n">
        <v>1</v>
      </c>
      <c r="I355" s="31">
        <f>IF(AND(ISNUMBER(G355),ISNUMBER(H355)),G355*H355,"")</f>
        <v/>
      </c>
      <c r="J355" s="32">
        <f>IF(ISNUMBER(I355),I355*MileRate,"")</f>
        <v/>
      </c>
      <c r="K355" s="28" t="n"/>
    </row>
    <row r="356" ht="20" customHeight="1">
      <c r="A356" s="27" t="n"/>
      <c r="B356" s="28" t="n"/>
      <c r="C356" s="28" t="n"/>
      <c r="D356" s="28" t="n"/>
      <c r="E356" s="29" t="n"/>
      <c r="F356" s="29" t="n"/>
      <c r="G356" s="29">
        <f>IF(AND(ISNUMBER(E356),ISNUMBER(F356)),F356-E356,"")</f>
        <v/>
      </c>
      <c r="H356" s="30" t="n">
        <v>1</v>
      </c>
      <c r="I356" s="31">
        <f>IF(AND(ISNUMBER(G356),ISNUMBER(H356)),G356*H356,"")</f>
        <v/>
      </c>
      <c r="J356" s="32">
        <f>IF(ISNUMBER(I356),I356*MileRate,"")</f>
        <v/>
      </c>
      <c r="K356" s="28" t="n"/>
    </row>
    <row r="357" ht="20" customHeight="1">
      <c r="A357" s="27" t="n"/>
      <c r="B357" s="28" t="n"/>
      <c r="C357" s="28" t="n"/>
      <c r="D357" s="28" t="n"/>
      <c r="E357" s="29" t="n"/>
      <c r="F357" s="29" t="n"/>
      <c r="G357" s="29">
        <f>IF(AND(ISNUMBER(E357),ISNUMBER(F357)),F357-E357,"")</f>
        <v/>
      </c>
      <c r="H357" s="30" t="n">
        <v>1</v>
      </c>
      <c r="I357" s="31">
        <f>IF(AND(ISNUMBER(G357),ISNUMBER(H357)),G357*H357,"")</f>
        <v/>
      </c>
      <c r="J357" s="32">
        <f>IF(ISNUMBER(I357),I357*MileRate,"")</f>
        <v/>
      </c>
      <c r="K357" s="28" t="n"/>
    </row>
    <row r="358" ht="20" customHeight="1">
      <c r="A358" s="27" t="n"/>
      <c r="B358" s="28" t="n"/>
      <c r="C358" s="28" t="n"/>
      <c r="D358" s="28" t="n"/>
      <c r="E358" s="29" t="n"/>
      <c r="F358" s="29" t="n"/>
      <c r="G358" s="29">
        <f>IF(AND(ISNUMBER(E358),ISNUMBER(F358)),F358-E358,"")</f>
        <v/>
      </c>
      <c r="H358" s="30" t="n">
        <v>1</v>
      </c>
      <c r="I358" s="31">
        <f>IF(AND(ISNUMBER(G358),ISNUMBER(H358)),G358*H358,"")</f>
        <v/>
      </c>
      <c r="J358" s="32">
        <f>IF(ISNUMBER(I358),I358*MileRate,"")</f>
        <v/>
      </c>
      <c r="K358" s="28" t="n"/>
    </row>
    <row r="359" ht="20" customHeight="1">
      <c r="A359" s="27" t="n"/>
      <c r="B359" s="28" t="n"/>
      <c r="C359" s="28" t="n"/>
      <c r="D359" s="28" t="n"/>
      <c r="E359" s="29" t="n"/>
      <c r="F359" s="29" t="n"/>
      <c r="G359" s="29">
        <f>IF(AND(ISNUMBER(E359),ISNUMBER(F359)),F359-E359,"")</f>
        <v/>
      </c>
      <c r="H359" s="30" t="n">
        <v>1</v>
      </c>
      <c r="I359" s="31">
        <f>IF(AND(ISNUMBER(G359),ISNUMBER(H359)),G359*H359,"")</f>
        <v/>
      </c>
      <c r="J359" s="32">
        <f>IF(ISNUMBER(I359),I359*MileRate,"")</f>
        <v/>
      </c>
      <c r="K359" s="28" t="n"/>
    </row>
    <row r="360" ht="20" customHeight="1">
      <c r="A360" s="27" t="n"/>
      <c r="B360" s="28" t="n"/>
      <c r="C360" s="28" t="n"/>
      <c r="D360" s="28" t="n"/>
      <c r="E360" s="29" t="n"/>
      <c r="F360" s="29" t="n"/>
      <c r="G360" s="29">
        <f>IF(AND(ISNUMBER(E360),ISNUMBER(F360)),F360-E360,"")</f>
        <v/>
      </c>
      <c r="H360" s="30" t="n">
        <v>1</v>
      </c>
      <c r="I360" s="31">
        <f>IF(AND(ISNUMBER(G360),ISNUMBER(H360)),G360*H360,"")</f>
        <v/>
      </c>
      <c r="J360" s="32">
        <f>IF(ISNUMBER(I360),I360*MileRate,"")</f>
        <v/>
      </c>
      <c r="K360" s="28" t="n"/>
    </row>
    <row r="361" ht="20" customHeight="1">
      <c r="A361" s="27" t="n"/>
      <c r="B361" s="28" t="n"/>
      <c r="C361" s="28" t="n"/>
      <c r="D361" s="28" t="n"/>
      <c r="E361" s="29" t="n"/>
      <c r="F361" s="29" t="n"/>
      <c r="G361" s="29">
        <f>IF(AND(ISNUMBER(E361),ISNUMBER(F361)),F361-E361,"")</f>
        <v/>
      </c>
      <c r="H361" s="30" t="n">
        <v>1</v>
      </c>
      <c r="I361" s="31">
        <f>IF(AND(ISNUMBER(G361),ISNUMBER(H361)),G361*H361,"")</f>
        <v/>
      </c>
      <c r="J361" s="32">
        <f>IF(ISNUMBER(I361),I361*MileRate,"")</f>
        <v/>
      </c>
      <c r="K361" s="28" t="n"/>
    </row>
    <row r="362" ht="20" customHeight="1">
      <c r="A362" s="27" t="n"/>
      <c r="B362" s="28" t="n"/>
      <c r="C362" s="28" t="n"/>
      <c r="D362" s="28" t="n"/>
      <c r="E362" s="29" t="n"/>
      <c r="F362" s="29" t="n"/>
      <c r="G362" s="29">
        <f>IF(AND(ISNUMBER(E362),ISNUMBER(F362)),F362-E362,"")</f>
        <v/>
      </c>
      <c r="H362" s="30" t="n">
        <v>1</v>
      </c>
      <c r="I362" s="31">
        <f>IF(AND(ISNUMBER(G362),ISNUMBER(H362)),G362*H362,"")</f>
        <v/>
      </c>
      <c r="J362" s="32">
        <f>IF(ISNUMBER(I362),I362*MileRate,"")</f>
        <v/>
      </c>
      <c r="K362" s="28" t="n"/>
    </row>
    <row r="363" ht="20" customHeight="1">
      <c r="A363" s="27" t="n"/>
      <c r="B363" s="28" t="n"/>
      <c r="C363" s="28" t="n"/>
      <c r="D363" s="28" t="n"/>
      <c r="E363" s="29" t="n"/>
      <c r="F363" s="29" t="n"/>
      <c r="G363" s="29">
        <f>IF(AND(ISNUMBER(E363),ISNUMBER(F363)),F363-E363,"")</f>
        <v/>
      </c>
      <c r="H363" s="30" t="n">
        <v>1</v>
      </c>
      <c r="I363" s="31">
        <f>IF(AND(ISNUMBER(G363),ISNUMBER(H363)),G363*H363,"")</f>
        <v/>
      </c>
      <c r="J363" s="32">
        <f>IF(ISNUMBER(I363),I363*MileRate,"")</f>
        <v/>
      </c>
      <c r="K363" s="28" t="n"/>
    </row>
    <row r="364" ht="20" customHeight="1">
      <c r="A364" s="27" t="n"/>
      <c r="B364" s="28" t="n"/>
      <c r="C364" s="28" t="n"/>
      <c r="D364" s="28" t="n"/>
      <c r="E364" s="29" t="n"/>
      <c r="F364" s="29" t="n"/>
      <c r="G364" s="29">
        <f>IF(AND(ISNUMBER(E364),ISNUMBER(F364)),F364-E364,"")</f>
        <v/>
      </c>
      <c r="H364" s="30" t="n">
        <v>1</v>
      </c>
      <c r="I364" s="31">
        <f>IF(AND(ISNUMBER(G364),ISNUMBER(H364)),G364*H364,"")</f>
        <v/>
      </c>
      <c r="J364" s="32">
        <f>IF(ISNUMBER(I364),I364*MileRate,"")</f>
        <v/>
      </c>
      <c r="K364" s="28" t="n"/>
    </row>
    <row r="365" ht="20" customHeight="1">
      <c r="A365" s="27" t="n"/>
      <c r="B365" s="28" t="n"/>
      <c r="C365" s="28" t="n"/>
      <c r="D365" s="28" t="n"/>
      <c r="E365" s="29" t="n"/>
      <c r="F365" s="29" t="n"/>
      <c r="G365" s="29">
        <f>IF(AND(ISNUMBER(E365),ISNUMBER(F365)),F365-E365,"")</f>
        <v/>
      </c>
      <c r="H365" s="30" t="n">
        <v>1</v>
      </c>
      <c r="I365" s="31">
        <f>IF(AND(ISNUMBER(G365),ISNUMBER(H365)),G365*H365,"")</f>
        <v/>
      </c>
      <c r="J365" s="32">
        <f>IF(ISNUMBER(I365),I365*MileRate,"")</f>
        <v/>
      </c>
      <c r="K365" s="28" t="n"/>
    </row>
    <row r="366" ht="20" customHeight="1">
      <c r="A366" s="27" t="n"/>
      <c r="B366" s="28" t="n"/>
      <c r="C366" s="28" t="n"/>
      <c r="D366" s="28" t="n"/>
      <c r="E366" s="29" t="n"/>
      <c r="F366" s="29" t="n"/>
      <c r="G366" s="29">
        <f>IF(AND(ISNUMBER(E366),ISNUMBER(F366)),F366-E366,"")</f>
        <v/>
      </c>
      <c r="H366" s="30" t="n">
        <v>1</v>
      </c>
      <c r="I366" s="31">
        <f>IF(AND(ISNUMBER(G366),ISNUMBER(H366)),G366*H366,"")</f>
        <v/>
      </c>
      <c r="J366" s="32">
        <f>IF(ISNUMBER(I366),I366*MileRate,"")</f>
        <v/>
      </c>
      <c r="K366" s="28" t="n"/>
    </row>
    <row r="367" ht="20" customHeight="1">
      <c r="A367" s="27" t="n"/>
      <c r="B367" s="28" t="n"/>
      <c r="C367" s="28" t="n"/>
      <c r="D367" s="28" t="n"/>
      <c r="E367" s="29" t="n"/>
      <c r="F367" s="29" t="n"/>
      <c r="G367" s="29">
        <f>IF(AND(ISNUMBER(E367),ISNUMBER(F367)),F367-E367,"")</f>
        <v/>
      </c>
      <c r="H367" s="30" t="n">
        <v>1</v>
      </c>
      <c r="I367" s="31">
        <f>IF(AND(ISNUMBER(G367),ISNUMBER(H367)),G367*H367,"")</f>
        <v/>
      </c>
      <c r="J367" s="32">
        <f>IF(ISNUMBER(I367),I367*MileRate,"")</f>
        <v/>
      </c>
      <c r="K367" s="28" t="n"/>
    </row>
    <row r="368" ht="20" customHeight="1">
      <c r="A368" s="27" t="n"/>
      <c r="B368" s="28" t="n"/>
      <c r="C368" s="28" t="n"/>
      <c r="D368" s="28" t="n"/>
      <c r="E368" s="29" t="n"/>
      <c r="F368" s="29" t="n"/>
      <c r="G368" s="29">
        <f>IF(AND(ISNUMBER(E368),ISNUMBER(F368)),F368-E368,"")</f>
        <v/>
      </c>
      <c r="H368" s="30" t="n">
        <v>1</v>
      </c>
      <c r="I368" s="31">
        <f>IF(AND(ISNUMBER(G368),ISNUMBER(H368)),G368*H368,"")</f>
        <v/>
      </c>
      <c r="J368" s="32">
        <f>IF(ISNUMBER(I368),I368*MileRate,"")</f>
        <v/>
      </c>
      <c r="K368" s="28" t="n"/>
    </row>
    <row r="369" ht="20" customHeight="1">
      <c r="A369" s="27" t="n"/>
      <c r="B369" s="28" t="n"/>
      <c r="C369" s="28" t="n"/>
      <c r="D369" s="28" t="n"/>
      <c r="E369" s="29" t="n"/>
      <c r="F369" s="29" t="n"/>
      <c r="G369" s="29">
        <f>IF(AND(ISNUMBER(E369),ISNUMBER(F369)),F369-E369,"")</f>
        <v/>
      </c>
      <c r="H369" s="30" t="n">
        <v>1</v>
      </c>
      <c r="I369" s="31">
        <f>IF(AND(ISNUMBER(G369),ISNUMBER(H369)),G369*H369,"")</f>
        <v/>
      </c>
      <c r="J369" s="32">
        <f>IF(ISNUMBER(I369),I369*MileRate,"")</f>
        <v/>
      </c>
      <c r="K369" s="28" t="n"/>
    </row>
  </sheetData>
  <mergeCells count="1">
    <mergeCell ref="A1:K1"/>
  </mergeCells>
  <dataValidations count="3">
    <dataValidation sqref="B3:B369" showDropDown="0" showInputMessage="0" showErrorMessage="0" allowBlank="1" errorTitle="Unknown vehicle" error="Pick a vehicle from the dropdown, or add it on the Setup tab." type="list">
      <formula1>=VehicleList</formula1>
    </dataValidation>
    <dataValidation sqref="C3:C369" showDropDown="0" showInputMessage="0" showErrorMessage="0" allowBlank="1" errorTitle="Unknown platform" error="Pick a platform from the dropdown, or add it on the Setup tab." type="list">
      <formula1>=PlatformList</formula1>
    </dataValidation>
    <dataValidation sqref="H3:H369" showDropDown="0" showInputMessage="0" showErrorMessage="0" allowBlank="1" errorTitle="Invalid business %" error="Business % must be between 0% and 100%." type="decimal" operator="between">
      <formula1>0</formula1>
      <formula2>1</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F34"/>
  <sheetViews>
    <sheetView showGridLines="0" zoomScale="110" workbookViewId="0">
      <selection activeCell="A1" sqref="A1"/>
    </sheetView>
  </sheetViews>
  <sheetFormatPr baseColWidth="8" defaultRowHeight="15"/>
  <cols>
    <col width="2" customWidth="1" min="1" max="1"/>
    <col width="14" customWidth="1" min="2" max="2"/>
    <col width="16" customWidth="1" min="3" max="3"/>
    <col width="16" customWidth="1" min="4" max="4"/>
    <col width="16" customWidth="1" min="5" max="5"/>
    <col width="16" customWidth="1" min="6" max="6"/>
  </cols>
  <sheetData>
    <row r="2" ht="32" customHeight="1">
      <c r="B2" s="11" t="inlineStr">
        <is>
          <t>Monthly Summary</t>
        </is>
      </c>
    </row>
    <row r="3">
      <c r="B3" s="12" t="inlineStr">
        <is>
          <t>Pulled from the Trip Log automatically. Edit nothing here.</t>
        </is>
      </c>
    </row>
    <row r="5" ht="26" customHeight="1">
      <c r="B5" s="20" t="inlineStr">
        <is>
          <t>Month</t>
        </is>
      </c>
      <c r="C5" s="20" t="inlineStr">
        <is>
          <t>Trips</t>
        </is>
      </c>
      <c r="D5" s="20" t="inlineStr">
        <is>
          <t>Total miles</t>
        </is>
      </c>
      <c r="E5" s="20" t="inlineStr">
        <is>
          <t>Business miles</t>
        </is>
      </c>
      <c r="F5" s="20" t="inlineStr">
        <is>
          <t>Deduction $</t>
        </is>
      </c>
    </row>
    <row r="6" ht="22" customHeight="1">
      <c r="B6" s="33" t="inlineStr">
        <is>
          <t>January</t>
        </is>
      </c>
      <c r="C6" s="34">
        <f>SUMPRODUCT((MONTH('Trip Log'!$A$3:$A$369)=1)*(YEAR('Trip Log'!$A$3:$A$369)=TaxYear)*ISNUMBER('Trip Log'!$G$3:$G$369))</f>
        <v/>
      </c>
      <c r="D6" s="35">
        <f>SUMPRODUCT((MONTH('Trip Log'!$A$3:$A$369)=1)*(YEAR('Trip Log'!$A$3:$A$369)=TaxYear)*IFERROR('Trip Log'!$G$3:$G$369,0))</f>
        <v/>
      </c>
      <c r="E6" s="35">
        <f>SUMPRODUCT((MONTH('Trip Log'!$A$3:$A$369)=1)*(YEAR('Trip Log'!$A$3:$A$369)=TaxYear)*IFERROR('Trip Log'!$I$3:$I$369,0))</f>
        <v/>
      </c>
      <c r="F6" s="36">
        <f>SUMPRODUCT((MONTH('Trip Log'!$A$3:$A$369)=1)*(YEAR('Trip Log'!$A$3:$A$369)=TaxYear)*IFERROR('Trip Log'!$J$3:$J$369,0))</f>
        <v/>
      </c>
    </row>
    <row r="7" ht="22" customHeight="1">
      <c r="B7" s="33" t="inlineStr">
        <is>
          <t>February</t>
        </is>
      </c>
      <c r="C7" s="34">
        <f>SUMPRODUCT((MONTH('Trip Log'!$A$3:$A$369)=2)*(YEAR('Trip Log'!$A$3:$A$369)=TaxYear)*ISNUMBER('Trip Log'!$G$3:$G$369))</f>
        <v/>
      </c>
      <c r="D7" s="35">
        <f>SUMPRODUCT((MONTH('Trip Log'!$A$3:$A$369)=2)*(YEAR('Trip Log'!$A$3:$A$369)=TaxYear)*IFERROR('Trip Log'!$G$3:$G$369,0))</f>
        <v/>
      </c>
      <c r="E7" s="35">
        <f>SUMPRODUCT((MONTH('Trip Log'!$A$3:$A$369)=2)*(YEAR('Trip Log'!$A$3:$A$369)=TaxYear)*IFERROR('Trip Log'!$I$3:$I$369,0))</f>
        <v/>
      </c>
      <c r="F7" s="36">
        <f>SUMPRODUCT((MONTH('Trip Log'!$A$3:$A$369)=2)*(YEAR('Trip Log'!$A$3:$A$369)=TaxYear)*IFERROR('Trip Log'!$J$3:$J$369,0))</f>
        <v/>
      </c>
    </row>
    <row r="8" ht="22" customHeight="1">
      <c r="B8" s="33" t="inlineStr">
        <is>
          <t>March</t>
        </is>
      </c>
      <c r="C8" s="34">
        <f>SUMPRODUCT((MONTH('Trip Log'!$A$3:$A$369)=3)*(YEAR('Trip Log'!$A$3:$A$369)=TaxYear)*ISNUMBER('Trip Log'!$G$3:$G$369))</f>
        <v/>
      </c>
      <c r="D8" s="35">
        <f>SUMPRODUCT((MONTH('Trip Log'!$A$3:$A$369)=3)*(YEAR('Trip Log'!$A$3:$A$369)=TaxYear)*IFERROR('Trip Log'!$G$3:$G$369,0))</f>
        <v/>
      </c>
      <c r="E8" s="35">
        <f>SUMPRODUCT((MONTH('Trip Log'!$A$3:$A$369)=3)*(YEAR('Trip Log'!$A$3:$A$369)=TaxYear)*IFERROR('Trip Log'!$I$3:$I$369,0))</f>
        <v/>
      </c>
      <c r="F8" s="36">
        <f>SUMPRODUCT((MONTH('Trip Log'!$A$3:$A$369)=3)*(YEAR('Trip Log'!$A$3:$A$369)=TaxYear)*IFERROR('Trip Log'!$J$3:$J$369,0))</f>
        <v/>
      </c>
    </row>
    <row r="9" ht="22" customHeight="1">
      <c r="B9" s="33" t="inlineStr">
        <is>
          <t>April</t>
        </is>
      </c>
      <c r="C9" s="34">
        <f>SUMPRODUCT((MONTH('Trip Log'!$A$3:$A$369)=4)*(YEAR('Trip Log'!$A$3:$A$369)=TaxYear)*ISNUMBER('Trip Log'!$G$3:$G$369))</f>
        <v/>
      </c>
      <c r="D9" s="35">
        <f>SUMPRODUCT((MONTH('Trip Log'!$A$3:$A$369)=4)*(YEAR('Trip Log'!$A$3:$A$369)=TaxYear)*IFERROR('Trip Log'!$G$3:$G$369,0))</f>
        <v/>
      </c>
      <c r="E9" s="35">
        <f>SUMPRODUCT((MONTH('Trip Log'!$A$3:$A$369)=4)*(YEAR('Trip Log'!$A$3:$A$369)=TaxYear)*IFERROR('Trip Log'!$I$3:$I$369,0))</f>
        <v/>
      </c>
      <c r="F9" s="36">
        <f>SUMPRODUCT((MONTH('Trip Log'!$A$3:$A$369)=4)*(YEAR('Trip Log'!$A$3:$A$369)=TaxYear)*IFERROR('Trip Log'!$J$3:$J$369,0))</f>
        <v/>
      </c>
    </row>
    <row r="10" ht="22" customHeight="1">
      <c r="B10" s="33" t="inlineStr">
        <is>
          <t>May</t>
        </is>
      </c>
      <c r="C10" s="34">
        <f>SUMPRODUCT((MONTH('Trip Log'!$A$3:$A$369)=5)*(YEAR('Trip Log'!$A$3:$A$369)=TaxYear)*ISNUMBER('Trip Log'!$G$3:$G$369))</f>
        <v/>
      </c>
      <c r="D10" s="35">
        <f>SUMPRODUCT((MONTH('Trip Log'!$A$3:$A$369)=5)*(YEAR('Trip Log'!$A$3:$A$369)=TaxYear)*IFERROR('Trip Log'!$G$3:$G$369,0))</f>
        <v/>
      </c>
      <c r="E10" s="35">
        <f>SUMPRODUCT((MONTH('Trip Log'!$A$3:$A$369)=5)*(YEAR('Trip Log'!$A$3:$A$369)=TaxYear)*IFERROR('Trip Log'!$I$3:$I$369,0))</f>
        <v/>
      </c>
      <c r="F10" s="36">
        <f>SUMPRODUCT((MONTH('Trip Log'!$A$3:$A$369)=5)*(YEAR('Trip Log'!$A$3:$A$369)=TaxYear)*IFERROR('Trip Log'!$J$3:$J$369,0))</f>
        <v/>
      </c>
    </row>
    <row r="11" ht="22" customHeight="1">
      <c r="B11" s="33" t="inlineStr">
        <is>
          <t>June</t>
        </is>
      </c>
      <c r="C11" s="34">
        <f>SUMPRODUCT((MONTH('Trip Log'!$A$3:$A$369)=6)*(YEAR('Trip Log'!$A$3:$A$369)=TaxYear)*ISNUMBER('Trip Log'!$G$3:$G$369))</f>
        <v/>
      </c>
      <c r="D11" s="35">
        <f>SUMPRODUCT((MONTH('Trip Log'!$A$3:$A$369)=6)*(YEAR('Trip Log'!$A$3:$A$369)=TaxYear)*IFERROR('Trip Log'!$G$3:$G$369,0))</f>
        <v/>
      </c>
      <c r="E11" s="35">
        <f>SUMPRODUCT((MONTH('Trip Log'!$A$3:$A$369)=6)*(YEAR('Trip Log'!$A$3:$A$369)=TaxYear)*IFERROR('Trip Log'!$I$3:$I$369,0))</f>
        <v/>
      </c>
      <c r="F11" s="36">
        <f>SUMPRODUCT((MONTH('Trip Log'!$A$3:$A$369)=6)*(YEAR('Trip Log'!$A$3:$A$369)=TaxYear)*IFERROR('Trip Log'!$J$3:$J$369,0))</f>
        <v/>
      </c>
    </row>
    <row r="12" ht="22" customHeight="1">
      <c r="B12" s="33" t="inlineStr">
        <is>
          <t>July</t>
        </is>
      </c>
      <c r="C12" s="34">
        <f>SUMPRODUCT((MONTH('Trip Log'!$A$3:$A$369)=7)*(YEAR('Trip Log'!$A$3:$A$369)=TaxYear)*ISNUMBER('Trip Log'!$G$3:$G$369))</f>
        <v/>
      </c>
      <c r="D12" s="35">
        <f>SUMPRODUCT((MONTH('Trip Log'!$A$3:$A$369)=7)*(YEAR('Trip Log'!$A$3:$A$369)=TaxYear)*IFERROR('Trip Log'!$G$3:$G$369,0))</f>
        <v/>
      </c>
      <c r="E12" s="35">
        <f>SUMPRODUCT((MONTH('Trip Log'!$A$3:$A$369)=7)*(YEAR('Trip Log'!$A$3:$A$369)=TaxYear)*IFERROR('Trip Log'!$I$3:$I$369,0))</f>
        <v/>
      </c>
      <c r="F12" s="36">
        <f>SUMPRODUCT((MONTH('Trip Log'!$A$3:$A$369)=7)*(YEAR('Trip Log'!$A$3:$A$369)=TaxYear)*IFERROR('Trip Log'!$J$3:$J$369,0))</f>
        <v/>
      </c>
    </row>
    <row r="13" ht="22" customHeight="1">
      <c r="B13" s="33" t="inlineStr">
        <is>
          <t>August</t>
        </is>
      </c>
      <c r="C13" s="34">
        <f>SUMPRODUCT((MONTH('Trip Log'!$A$3:$A$369)=8)*(YEAR('Trip Log'!$A$3:$A$369)=TaxYear)*ISNUMBER('Trip Log'!$G$3:$G$369))</f>
        <v/>
      </c>
      <c r="D13" s="35">
        <f>SUMPRODUCT((MONTH('Trip Log'!$A$3:$A$369)=8)*(YEAR('Trip Log'!$A$3:$A$369)=TaxYear)*IFERROR('Trip Log'!$G$3:$G$369,0))</f>
        <v/>
      </c>
      <c r="E13" s="35">
        <f>SUMPRODUCT((MONTH('Trip Log'!$A$3:$A$369)=8)*(YEAR('Trip Log'!$A$3:$A$369)=TaxYear)*IFERROR('Trip Log'!$I$3:$I$369,0))</f>
        <v/>
      </c>
      <c r="F13" s="36">
        <f>SUMPRODUCT((MONTH('Trip Log'!$A$3:$A$369)=8)*(YEAR('Trip Log'!$A$3:$A$369)=TaxYear)*IFERROR('Trip Log'!$J$3:$J$369,0))</f>
        <v/>
      </c>
    </row>
    <row r="14" ht="22" customHeight="1">
      <c r="B14" s="33" t="inlineStr">
        <is>
          <t>September</t>
        </is>
      </c>
      <c r="C14" s="34">
        <f>SUMPRODUCT((MONTH('Trip Log'!$A$3:$A$369)=9)*(YEAR('Trip Log'!$A$3:$A$369)=TaxYear)*ISNUMBER('Trip Log'!$G$3:$G$369))</f>
        <v/>
      </c>
      <c r="D14" s="35">
        <f>SUMPRODUCT((MONTH('Trip Log'!$A$3:$A$369)=9)*(YEAR('Trip Log'!$A$3:$A$369)=TaxYear)*IFERROR('Trip Log'!$G$3:$G$369,0))</f>
        <v/>
      </c>
      <c r="E14" s="35">
        <f>SUMPRODUCT((MONTH('Trip Log'!$A$3:$A$369)=9)*(YEAR('Trip Log'!$A$3:$A$369)=TaxYear)*IFERROR('Trip Log'!$I$3:$I$369,0))</f>
        <v/>
      </c>
      <c r="F14" s="36">
        <f>SUMPRODUCT((MONTH('Trip Log'!$A$3:$A$369)=9)*(YEAR('Trip Log'!$A$3:$A$369)=TaxYear)*IFERROR('Trip Log'!$J$3:$J$369,0))</f>
        <v/>
      </c>
    </row>
    <row r="15" ht="22" customHeight="1">
      <c r="B15" s="33" t="inlineStr">
        <is>
          <t>October</t>
        </is>
      </c>
      <c r="C15" s="34">
        <f>SUMPRODUCT((MONTH('Trip Log'!$A$3:$A$369)=10)*(YEAR('Trip Log'!$A$3:$A$369)=TaxYear)*ISNUMBER('Trip Log'!$G$3:$G$369))</f>
        <v/>
      </c>
      <c r="D15" s="35">
        <f>SUMPRODUCT((MONTH('Trip Log'!$A$3:$A$369)=10)*(YEAR('Trip Log'!$A$3:$A$369)=TaxYear)*IFERROR('Trip Log'!$G$3:$G$369,0))</f>
        <v/>
      </c>
      <c r="E15" s="35">
        <f>SUMPRODUCT((MONTH('Trip Log'!$A$3:$A$369)=10)*(YEAR('Trip Log'!$A$3:$A$369)=TaxYear)*IFERROR('Trip Log'!$I$3:$I$369,0))</f>
        <v/>
      </c>
      <c r="F15" s="36">
        <f>SUMPRODUCT((MONTH('Trip Log'!$A$3:$A$369)=10)*(YEAR('Trip Log'!$A$3:$A$369)=TaxYear)*IFERROR('Trip Log'!$J$3:$J$369,0))</f>
        <v/>
      </c>
    </row>
    <row r="16" ht="22" customHeight="1">
      <c r="B16" s="33" t="inlineStr">
        <is>
          <t>November</t>
        </is>
      </c>
      <c r="C16" s="34">
        <f>SUMPRODUCT((MONTH('Trip Log'!$A$3:$A$369)=11)*(YEAR('Trip Log'!$A$3:$A$369)=TaxYear)*ISNUMBER('Trip Log'!$G$3:$G$369))</f>
        <v/>
      </c>
      <c r="D16" s="35">
        <f>SUMPRODUCT((MONTH('Trip Log'!$A$3:$A$369)=11)*(YEAR('Trip Log'!$A$3:$A$369)=TaxYear)*IFERROR('Trip Log'!$G$3:$G$369,0))</f>
        <v/>
      </c>
      <c r="E16" s="35">
        <f>SUMPRODUCT((MONTH('Trip Log'!$A$3:$A$369)=11)*(YEAR('Trip Log'!$A$3:$A$369)=TaxYear)*IFERROR('Trip Log'!$I$3:$I$369,0))</f>
        <v/>
      </c>
      <c r="F16" s="36">
        <f>SUMPRODUCT((MONTH('Trip Log'!$A$3:$A$369)=11)*(YEAR('Trip Log'!$A$3:$A$369)=TaxYear)*IFERROR('Trip Log'!$J$3:$J$369,0))</f>
        <v/>
      </c>
    </row>
    <row r="17" ht="22" customHeight="1">
      <c r="B17" s="33" t="inlineStr">
        <is>
          <t>December</t>
        </is>
      </c>
      <c r="C17" s="34">
        <f>SUMPRODUCT((MONTH('Trip Log'!$A$3:$A$369)=12)*(YEAR('Trip Log'!$A$3:$A$369)=TaxYear)*ISNUMBER('Trip Log'!$G$3:$G$369))</f>
        <v/>
      </c>
      <c r="D17" s="35">
        <f>SUMPRODUCT((MONTH('Trip Log'!$A$3:$A$369)=12)*(YEAR('Trip Log'!$A$3:$A$369)=TaxYear)*IFERROR('Trip Log'!$G$3:$G$369,0))</f>
        <v/>
      </c>
      <c r="E17" s="35">
        <f>SUMPRODUCT((MONTH('Trip Log'!$A$3:$A$369)=12)*(YEAR('Trip Log'!$A$3:$A$369)=TaxYear)*IFERROR('Trip Log'!$I$3:$I$369,0))</f>
        <v/>
      </c>
      <c r="F17" s="36">
        <f>SUMPRODUCT((MONTH('Trip Log'!$A$3:$A$369)=12)*(YEAR('Trip Log'!$A$3:$A$369)=TaxYear)*IFERROR('Trip Log'!$J$3:$J$369,0))</f>
        <v/>
      </c>
    </row>
    <row r="18" ht="28" customHeight="1">
      <c r="B18" s="13" t="inlineStr">
        <is>
          <t>Total</t>
        </is>
      </c>
      <c r="C18" s="37">
        <f>SUM(C6:C17)</f>
        <v/>
      </c>
      <c r="D18" s="38">
        <f>SUM(D6:D17)</f>
        <v/>
      </c>
      <c r="E18" s="38">
        <f>SUM(E6:E17)</f>
        <v/>
      </c>
      <c r="F18" s="39">
        <f>SUM(F6:F17)</f>
        <v/>
      </c>
    </row>
    <row r="21" ht="26" customHeight="1">
      <c r="B21" s="3" t="inlineStr">
        <is>
          <t>By platform (full year)</t>
        </is>
      </c>
    </row>
    <row r="22" ht="24" customHeight="1">
      <c r="B22" s="20" t="inlineStr">
        <is>
          <t>Platform</t>
        </is>
      </c>
      <c r="C22" s="20" t="inlineStr">
        <is>
          <t>Trips</t>
        </is>
      </c>
      <c r="D22" s="20" t="inlineStr">
        <is>
          <t>Business miles</t>
        </is>
      </c>
      <c r="E22" s="20" t="inlineStr">
        <is>
          <t>Deduction $</t>
        </is>
      </c>
    </row>
    <row r="23" ht="20" customHeight="1">
      <c r="B23" s="33">
        <f>IFERROR(Setup!B19,"")</f>
        <v/>
      </c>
      <c r="C23" s="34">
        <f>IF(B23="","",SUMPRODUCT(('Trip Log'!$C$3:$C$369=B23)*(YEAR('Trip Log'!$A$3:$A$369)=TaxYear)*ISNUMBER('Trip Log'!$G$3:$G$369)))</f>
        <v/>
      </c>
      <c r="D23" s="35">
        <f>IF(B23="","",SUMPRODUCT(('Trip Log'!$C$3:$C$369=B23)*(YEAR('Trip Log'!$A$3:$A$369)=TaxYear)*IFERROR('Trip Log'!$I$3:$I$369,0)))</f>
        <v/>
      </c>
      <c r="E23" s="36">
        <f>IF(B23="","",SUMPRODUCT(('Trip Log'!$C$3:$C$369=B23)*(YEAR('Trip Log'!$A$3:$A$369)=TaxYear)*IFERROR('Trip Log'!$J$3:$J$369,0)))</f>
        <v/>
      </c>
    </row>
    <row r="24" ht="20" customHeight="1">
      <c r="B24" s="33">
        <f>IFERROR(Setup!B20,"")</f>
        <v/>
      </c>
      <c r="C24" s="34">
        <f>IF(B24="","",SUMPRODUCT(('Trip Log'!$C$3:$C$369=B24)*(YEAR('Trip Log'!$A$3:$A$369)=TaxYear)*ISNUMBER('Trip Log'!$G$3:$G$369)))</f>
        <v/>
      </c>
      <c r="D24" s="35">
        <f>IF(B24="","",SUMPRODUCT(('Trip Log'!$C$3:$C$369=B24)*(YEAR('Trip Log'!$A$3:$A$369)=TaxYear)*IFERROR('Trip Log'!$I$3:$I$369,0)))</f>
        <v/>
      </c>
      <c r="E24" s="36">
        <f>IF(B24="","",SUMPRODUCT(('Trip Log'!$C$3:$C$369=B24)*(YEAR('Trip Log'!$A$3:$A$369)=TaxYear)*IFERROR('Trip Log'!$J$3:$J$369,0)))</f>
        <v/>
      </c>
    </row>
    <row r="25" ht="20" customHeight="1">
      <c r="B25" s="33">
        <f>IFERROR(Setup!B21,"")</f>
        <v/>
      </c>
      <c r="C25" s="34">
        <f>IF(B25="","",SUMPRODUCT(('Trip Log'!$C$3:$C$369=B25)*(YEAR('Trip Log'!$A$3:$A$369)=TaxYear)*ISNUMBER('Trip Log'!$G$3:$G$369)))</f>
        <v/>
      </c>
      <c r="D25" s="35">
        <f>IF(B25="","",SUMPRODUCT(('Trip Log'!$C$3:$C$369=B25)*(YEAR('Trip Log'!$A$3:$A$369)=TaxYear)*IFERROR('Trip Log'!$I$3:$I$369,0)))</f>
        <v/>
      </c>
      <c r="E25" s="36">
        <f>IF(B25="","",SUMPRODUCT(('Trip Log'!$C$3:$C$369=B25)*(YEAR('Trip Log'!$A$3:$A$369)=TaxYear)*IFERROR('Trip Log'!$J$3:$J$369,0)))</f>
        <v/>
      </c>
    </row>
    <row r="26" ht="20" customHeight="1">
      <c r="B26" s="33">
        <f>IFERROR(Setup!B22,"")</f>
        <v/>
      </c>
      <c r="C26" s="34">
        <f>IF(B26="","",SUMPRODUCT(('Trip Log'!$C$3:$C$369=B26)*(YEAR('Trip Log'!$A$3:$A$369)=TaxYear)*ISNUMBER('Trip Log'!$G$3:$G$369)))</f>
        <v/>
      </c>
      <c r="D26" s="35">
        <f>IF(B26="","",SUMPRODUCT(('Trip Log'!$C$3:$C$369=B26)*(YEAR('Trip Log'!$A$3:$A$369)=TaxYear)*IFERROR('Trip Log'!$I$3:$I$369,0)))</f>
        <v/>
      </c>
      <c r="E26" s="36">
        <f>IF(B26="","",SUMPRODUCT(('Trip Log'!$C$3:$C$369=B26)*(YEAR('Trip Log'!$A$3:$A$369)=TaxYear)*IFERROR('Trip Log'!$J$3:$J$369,0)))</f>
        <v/>
      </c>
    </row>
    <row r="27" ht="20" customHeight="1">
      <c r="B27" s="33">
        <f>IFERROR(Setup!B23,"")</f>
        <v/>
      </c>
      <c r="C27" s="34">
        <f>IF(B27="","",SUMPRODUCT(('Trip Log'!$C$3:$C$369=B27)*(YEAR('Trip Log'!$A$3:$A$369)=TaxYear)*ISNUMBER('Trip Log'!$G$3:$G$369)))</f>
        <v/>
      </c>
      <c r="D27" s="35">
        <f>IF(B27="","",SUMPRODUCT(('Trip Log'!$C$3:$C$369=B27)*(YEAR('Trip Log'!$A$3:$A$369)=TaxYear)*IFERROR('Trip Log'!$I$3:$I$369,0)))</f>
        <v/>
      </c>
      <c r="E27" s="36">
        <f>IF(B27="","",SUMPRODUCT(('Trip Log'!$C$3:$C$369=B27)*(YEAR('Trip Log'!$A$3:$A$369)=TaxYear)*IFERROR('Trip Log'!$J$3:$J$369,0)))</f>
        <v/>
      </c>
    </row>
    <row r="28" ht="20" customHeight="1">
      <c r="B28" s="33">
        <f>IFERROR(Setup!B24,"")</f>
        <v/>
      </c>
      <c r="C28" s="34">
        <f>IF(B28="","",SUMPRODUCT(('Trip Log'!$C$3:$C$369=B28)*(YEAR('Trip Log'!$A$3:$A$369)=TaxYear)*ISNUMBER('Trip Log'!$G$3:$G$369)))</f>
        <v/>
      </c>
      <c r="D28" s="35">
        <f>IF(B28="","",SUMPRODUCT(('Trip Log'!$C$3:$C$369=B28)*(YEAR('Trip Log'!$A$3:$A$369)=TaxYear)*IFERROR('Trip Log'!$I$3:$I$369,0)))</f>
        <v/>
      </c>
      <c r="E28" s="36">
        <f>IF(B28="","",SUMPRODUCT(('Trip Log'!$C$3:$C$369=B28)*(YEAR('Trip Log'!$A$3:$A$369)=TaxYear)*IFERROR('Trip Log'!$J$3:$J$369,0)))</f>
        <v/>
      </c>
    </row>
    <row r="29" ht="20" customHeight="1">
      <c r="B29" s="33">
        <f>IFERROR(Setup!B25,"")</f>
        <v/>
      </c>
      <c r="C29" s="34">
        <f>IF(B29="","",SUMPRODUCT(('Trip Log'!$C$3:$C$369=B29)*(YEAR('Trip Log'!$A$3:$A$369)=TaxYear)*ISNUMBER('Trip Log'!$G$3:$G$369)))</f>
        <v/>
      </c>
      <c r="D29" s="35">
        <f>IF(B29="","",SUMPRODUCT(('Trip Log'!$C$3:$C$369=B29)*(YEAR('Trip Log'!$A$3:$A$369)=TaxYear)*IFERROR('Trip Log'!$I$3:$I$369,0)))</f>
        <v/>
      </c>
      <c r="E29" s="36">
        <f>IF(B29="","",SUMPRODUCT(('Trip Log'!$C$3:$C$369=B29)*(YEAR('Trip Log'!$A$3:$A$369)=TaxYear)*IFERROR('Trip Log'!$J$3:$J$369,0)))</f>
        <v/>
      </c>
    </row>
    <row r="30" ht="20" customHeight="1">
      <c r="B30" s="33">
        <f>IFERROR(Setup!B26,"")</f>
        <v/>
      </c>
      <c r="C30" s="34">
        <f>IF(B30="","",SUMPRODUCT(('Trip Log'!$C$3:$C$369=B30)*(YEAR('Trip Log'!$A$3:$A$369)=TaxYear)*ISNUMBER('Trip Log'!$G$3:$G$369)))</f>
        <v/>
      </c>
      <c r="D30" s="35">
        <f>IF(B30="","",SUMPRODUCT(('Trip Log'!$C$3:$C$369=B30)*(YEAR('Trip Log'!$A$3:$A$369)=TaxYear)*IFERROR('Trip Log'!$I$3:$I$369,0)))</f>
        <v/>
      </c>
      <c r="E30" s="36">
        <f>IF(B30="","",SUMPRODUCT(('Trip Log'!$C$3:$C$369=B30)*(YEAR('Trip Log'!$A$3:$A$369)=TaxYear)*IFERROR('Trip Log'!$J$3:$J$369,0)))</f>
        <v/>
      </c>
    </row>
    <row r="31" ht="20" customHeight="1">
      <c r="B31" s="33">
        <f>IFERROR(Setup!B27,"")</f>
        <v/>
      </c>
      <c r="C31" s="34">
        <f>IF(B31="","",SUMPRODUCT(('Trip Log'!$C$3:$C$369=B31)*(YEAR('Trip Log'!$A$3:$A$369)=TaxYear)*ISNUMBER('Trip Log'!$G$3:$G$369)))</f>
        <v/>
      </c>
      <c r="D31" s="35">
        <f>IF(B31="","",SUMPRODUCT(('Trip Log'!$C$3:$C$369=B31)*(YEAR('Trip Log'!$A$3:$A$369)=TaxYear)*IFERROR('Trip Log'!$I$3:$I$369,0)))</f>
        <v/>
      </c>
      <c r="E31" s="36">
        <f>IF(B31="","",SUMPRODUCT(('Trip Log'!$C$3:$C$369=B31)*(YEAR('Trip Log'!$A$3:$A$369)=TaxYear)*IFERROR('Trip Log'!$J$3:$J$369,0)))</f>
        <v/>
      </c>
    </row>
    <row r="32" ht="20" customHeight="1">
      <c r="B32" s="33">
        <f>IFERROR(Setup!B28,"")</f>
        <v/>
      </c>
      <c r="C32" s="34">
        <f>IF(B32="","",SUMPRODUCT(('Trip Log'!$C$3:$C$369=B32)*(YEAR('Trip Log'!$A$3:$A$369)=TaxYear)*ISNUMBER('Trip Log'!$G$3:$G$369)))</f>
        <v/>
      </c>
      <c r="D32" s="35">
        <f>IF(B32="","",SUMPRODUCT(('Trip Log'!$C$3:$C$369=B32)*(YEAR('Trip Log'!$A$3:$A$369)=TaxYear)*IFERROR('Trip Log'!$I$3:$I$369,0)))</f>
        <v/>
      </c>
      <c r="E32" s="36">
        <f>IF(B32="","",SUMPRODUCT(('Trip Log'!$C$3:$C$369=B32)*(YEAR('Trip Log'!$A$3:$A$369)=TaxYear)*IFERROR('Trip Log'!$J$3:$J$369,0)))</f>
        <v/>
      </c>
    </row>
    <row r="33" ht="20" customHeight="1">
      <c r="B33" s="33">
        <f>IFERROR(Setup!B29,"")</f>
        <v/>
      </c>
      <c r="C33" s="34">
        <f>IF(B33="","",SUMPRODUCT(('Trip Log'!$C$3:$C$369=B33)*(YEAR('Trip Log'!$A$3:$A$369)=TaxYear)*ISNUMBER('Trip Log'!$G$3:$G$369)))</f>
        <v/>
      </c>
      <c r="D33" s="35">
        <f>IF(B33="","",SUMPRODUCT(('Trip Log'!$C$3:$C$369=B33)*(YEAR('Trip Log'!$A$3:$A$369)=TaxYear)*IFERROR('Trip Log'!$I$3:$I$369,0)))</f>
        <v/>
      </c>
      <c r="E33" s="36">
        <f>IF(B33="","",SUMPRODUCT(('Trip Log'!$C$3:$C$369=B33)*(YEAR('Trip Log'!$A$3:$A$369)=TaxYear)*IFERROR('Trip Log'!$J$3:$J$369,0)))</f>
        <v/>
      </c>
    </row>
    <row r="34" ht="20" customHeight="1">
      <c r="B34" s="33">
        <f>IFERROR(Setup!B30,"")</f>
        <v/>
      </c>
      <c r="C34" s="34">
        <f>IF(B34="","",SUMPRODUCT(('Trip Log'!$C$3:$C$369=B34)*(YEAR('Trip Log'!$A$3:$A$369)=TaxYear)*ISNUMBER('Trip Log'!$G$3:$G$369)))</f>
        <v/>
      </c>
      <c r="D34" s="35">
        <f>IF(B34="","",SUMPRODUCT(('Trip Log'!$C$3:$C$369=B34)*(YEAR('Trip Log'!$A$3:$A$369)=TaxYear)*IFERROR('Trip Log'!$I$3:$I$369,0)))</f>
        <v/>
      </c>
      <c r="E34" s="36">
        <f>IF(B34="","",SUMPRODUCT(('Trip Log'!$C$3:$C$369=B34)*(YEAR('Trip Log'!$A$3:$A$369)=TaxYear)*IFERROR('Trip Log'!$J$3:$J$369,0)))</f>
        <v/>
      </c>
    </row>
  </sheetData>
  <mergeCells count="3">
    <mergeCell ref="B2:F2"/>
    <mergeCell ref="B21:F21"/>
    <mergeCell ref="B3:F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E26"/>
  <sheetViews>
    <sheetView showGridLines="0" zoomScale="110" workbookViewId="0">
      <selection activeCell="A1" sqref="A1"/>
    </sheetView>
  </sheetViews>
  <sheetFormatPr baseColWidth="8" defaultRowHeight="15"/>
  <cols>
    <col width="2" customWidth="1" min="1" max="1"/>
    <col width="24" customWidth="1" min="2" max="2"/>
    <col width="24" customWidth="1" min="3" max="3"/>
    <col width="24" customWidth="1" min="4" max="4"/>
    <col width="24" customWidth="1" min="5" max="5"/>
    <col width="2" customWidth="1" min="6" max="6"/>
    <col width="2" customWidth="1" min="7" max="7"/>
    <col width="2" customWidth="1" min="8" max="8"/>
  </cols>
  <sheetData>
    <row r="2" ht="32" customHeight="1">
      <c r="B2" s="11" t="inlineStr">
        <is>
          <t>Year-End Summary</t>
        </is>
      </c>
    </row>
    <row r="3">
      <c r="B3" s="12" t="inlineStr">
        <is>
          <t>What to put on Schedule C line 9 (Car &amp; Truck Expenses) when you file.</t>
        </is>
      </c>
    </row>
    <row r="5" ht="24" customHeight="1">
      <c r="B5" s="40" t="inlineStr">
        <is>
          <t>TAX YEAR</t>
        </is>
      </c>
      <c r="C5" s="40" t="inlineStr">
        <is>
          <t>TOTAL BUSINESS MILES</t>
        </is>
      </c>
      <c r="D5" s="40" t="inlineStr">
        <is>
          <t>IRS RATE</t>
        </is>
      </c>
      <c r="E5" s="40" t="inlineStr">
        <is>
          <t>MILEAGE DEDUCTION</t>
        </is>
      </c>
    </row>
    <row r="6" ht="36" customHeight="1">
      <c r="B6" s="41">
        <f>TaxYear</f>
        <v/>
      </c>
      <c r="C6" s="42">
        <f>'Monthly Summary'!E18</f>
        <v/>
      </c>
      <c r="D6" s="43">
        <f>MileRate</f>
        <v/>
      </c>
      <c r="E6" s="44">
        <f>'Monthly Summary'!F18</f>
        <v/>
      </c>
    </row>
    <row r="9" ht="10" customHeight="1"/>
    <row r="10" ht="24" customHeight="1">
      <c r="B10" s="45" t="inlineStr">
        <is>
          <t>Schedule C — Part II, Line 9 (Car &amp; Truck Expenses):</t>
        </is>
      </c>
    </row>
    <row r="11" ht="28" customHeight="1">
      <c r="B11" s="8">
        <f>"Enter $"&amp;TEXT('Monthly Summary'!F18,"#,##0.00")&amp;" on line 9. Use the 'Standard Mileage' method (the option you've been tracking for)."</f>
        <v/>
      </c>
    </row>
    <row r="14" ht="24" customHeight="1">
      <c r="B14" s="3" t="inlineStr">
        <is>
          <t>Sanity check vs. your total driving</t>
        </is>
      </c>
    </row>
    <row r="15">
      <c r="B15" s="8" t="inlineStr">
        <is>
          <t>Total miles all vehicles drove this year (from Setup):</t>
        </is>
      </c>
      <c r="C15" s="46">
        <f>SUM(Setup!F12:F14)</f>
        <v/>
      </c>
    </row>
    <row r="16">
      <c r="B16" s="8" t="inlineStr">
        <is>
          <t>Business miles you logged this year:</t>
        </is>
      </c>
      <c r="C16" s="47">
        <f>'Monthly Summary'!E18</f>
        <v/>
      </c>
    </row>
    <row r="17">
      <c r="B17" s="8" t="inlineStr">
        <is>
          <t>Implied business-use percentage:</t>
        </is>
      </c>
      <c r="C17" s="48">
        <f>IFERROR(C16/C15,"")</f>
        <v/>
      </c>
    </row>
    <row r="18" ht="50" customHeight="1">
      <c r="B18" s="9" t="inlineStr">
        <is>
          <t>If this percentage is above ~85%, expect IRS questions — most gig drivers fall in the 50–85% range because of commute, personal errands, and time between gigs. Reasonable numbers help you survive an audit.</t>
        </is>
      </c>
    </row>
    <row r="21" ht="24" customHeight="1">
      <c r="B21" s="3" t="inlineStr">
        <is>
          <t>Records to keep with this file (3+ years)</t>
        </is>
      </c>
    </row>
    <row r="22" ht="22" customHeight="1">
      <c r="B22" s="49" t="inlineStr">
        <is>
          <t>→</t>
        </is>
      </c>
      <c r="C22" s="8" t="inlineStr">
        <is>
          <t>Jan 1 and Dec 31 odometer photos for every vehicle you used</t>
        </is>
      </c>
    </row>
    <row r="23" ht="22" customHeight="1">
      <c r="B23" s="49" t="inlineStr">
        <is>
          <t>→</t>
        </is>
      </c>
      <c r="C23" s="8" t="inlineStr">
        <is>
          <t>1099-NEC and 1099-K from every platform</t>
        </is>
      </c>
    </row>
    <row r="24" ht="22" customHeight="1">
      <c r="B24" s="49" t="inlineStr">
        <is>
          <t>→</t>
        </is>
      </c>
      <c r="C24" s="8" t="inlineStr">
        <is>
          <t>Bank/PayPal statements showing platform deposits</t>
        </is>
      </c>
    </row>
    <row r="25" ht="22" customHeight="1">
      <c r="B25" s="49" t="inlineStr">
        <is>
          <t>→</t>
        </is>
      </c>
      <c r="C25" s="8" t="inlineStr">
        <is>
          <t>Receipts for tolls, parking, and any non-mileage car costs (these add on top of the mileage deduction)</t>
        </is>
      </c>
    </row>
    <row r="26" ht="22" customHeight="1">
      <c r="B26" s="49" t="inlineStr">
        <is>
          <t>→</t>
        </is>
      </c>
      <c r="C26" s="8" t="inlineStr">
        <is>
          <t>If you ever switched from standard mileage to actual expenses, keep that election documented</t>
        </is>
      </c>
    </row>
  </sheetData>
  <mergeCells count="12">
    <mergeCell ref="B18:E18"/>
    <mergeCell ref="C23:E23"/>
    <mergeCell ref="B21:E21"/>
    <mergeCell ref="C22:E22"/>
    <mergeCell ref="B11:E11"/>
    <mergeCell ref="C26:E26"/>
    <mergeCell ref="B3:E3"/>
    <mergeCell ref="B2:E2"/>
    <mergeCell ref="B10:E10"/>
    <mergeCell ref="C25:E25"/>
    <mergeCell ref="B14:E14"/>
    <mergeCell ref="C24:E24"/>
  </mergeCells>
  <conditionalFormatting sqref="C17">
    <cfRule type="cellIs" priority="1" operator="lessThan" dxfId="0">
      <formula>0.8</formula>
    </cfRule>
    <cfRule type="cellIs" priority="2" operator="between" dxfId="1">
      <formula>0.8</formula>
      <formula>0.95</formula>
    </cfRule>
    <cfRule type="cellIs" priority="3" operator="greaterThan" dxfId="2">
      <formula>0.95</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B2:C33"/>
  <sheetViews>
    <sheetView showGridLines="0" zoomScale="110" workbookViewId="0">
      <selection activeCell="A1" sqref="A1"/>
    </sheetView>
  </sheetViews>
  <sheetFormatPr baseColWidth="8" defaultRowHeight="15"/>
  <cols>
    <col width="2" customWidth="1" min="1" max="1"/>
    <col width="30" customWidth="1" min="2" max="2"/>
    <col width="70" customWidth="1" min="3" max="3"/>
  </cols>
  <sheetData>
    <row r="2" ht="32" customHeight="1">
      <c r="B2" s="11" t="inlineStr">
        <is>
          <t>Plain-English IRS Reference</t>
        </is>
      </c>
    </row>
    <row r="3">
      <c r="B3" s="12" t="inlineStr">
        <is>
          <t>What every gig driver needs to know — short answers to the questions the IRS actually cares about.</t>
        </is>
      </c>
    </row>
    <row r="5" ht="22" customHeight="1">
      <c r="B5" s="49" t="inlineStr">
        <is>
          <t>Q</t>
        </is>
      </c>
      <c r="C5" s="45" t="inlineStr">
        <is>
          <t>Standard mileage vs. actual expenses</t>
        </is>
      </c>
    </row>
    <row r="6" ht="60" customHeight="1">
      <c r="C6" s="4" t="inlineStr">
        <is>
          <t>You pick one method per vehicle. Standard mileage (this tracker) multiplies your business miles by the IRS rate — no receipts needed beyond the log. Actual expenses adds up gas, oil, repairs, insurance, depreciation, etc., then multiplies by business-use %. Most gig drivers come out ahead with standard mileage and it's way less paperwork.</t>
        </is>
      </c>
    </row>
    <row r="8" ht="22" customHeight="1">
      <c r="B8" s="49" t="inlineStr">
        <is>
          <t>Q</t>
        </is>
      </c>
      <c r="C8" s="45" t="inlineStr">
        <is>
          <t>Can I switch methods later?</t>
        </is>
      </c>
    </row>
    <row r="9" ht="60" customHeight="1">
      <c r="C9" s="4" t="inlineStr">
        <is>
          <t>If you used STANDARD mileage in year one, you can switch to actual in any later year. If you used ACTUAL in year one, you're locked into actual for that vehicle for as long as you own it. This is why year-one choice matters.</t>
        </is>
      </c>
    </row>
    <row r="11" ht="22" customHeight="1">
      <c r="B11" s="49" t="inlineStr">
        <is>
          <t>Q</t>
        </is>
      </c>
      <c r="C11" s="45" t="inlineStr">
        <is>
          <t>What counts as a business mile?</t>
        </is>
      </c>
    </row>
    <row r="12" ht="60" customHeight="1">
      <c r="C12" s="4" t="inlineStr">
        <is>
          <t>Driving with the app on and waiting for/accepting/completing rides or deliveries. Driving from one delivery to the next while online. Driving home after your shift IS a business mile if you're online and accepting requests. Plain personal errands are not.</t>
        </is>
      </c>
    </row>
    <row r="14" ht="22" customHeight="1">
      <c r="B14" s="49" t="inlineStr">
        <is>
          <t>Q</t>
        </is>
      </c>
      <c r="C14" s="45" t="inlineStr">
        <is>
          <t>Is my commute deductible?</t>
        </is>
      </c>
    </row>
    <row r="15" ht="60" customHeight="1">
      <c r="C15" s="4" t="inlineStr">
        <is>
          <t>Your drive from home to your first business pickup is generally NOT deductible (commuting). Once you're logged into the app and accepting work, you've started your business — miles from that point until you log off ARE deductible. Some drivers turn the app on as they leave the driveway specifically for this reason.</t>
        </is>
      </c>
    </row>
    <row r="17" ht="22" customHeight="1">
      <c r="B17" s="49" t="inlineStr">
        <is>
          <t>Q</t>
        </is>
      </c>
      <c r="C17" s="45" t="inlineStr">
        <is>
          <t>Do tolls and parking count?</t>
        </is>
      </c>
    </row>
    <row r="18" ht="60" customHeight="1">
      <c r="C18" s="4" t="inlineStr">
        <is>
          <t>Yes, on top of the mileage deduction. Track them separately and add them to Schedule C — they don't go in this tracker because they aren't mileage.</t>
        </is>
      </c>
    </row>
    <row r="20" ht="22" customHeight="1">
      <c r="B20" s="49" t="inlineStr">
        <is>
          <t>Q</t>
        </is>
      </c>
      <c r="C20" s="45" t="inlineStr">
        <is>
          <t>What about my phone, car wash, and hot bag?</t>
        </is>
      </c>
    </row>
    <row r="21" ht="60" customHeight="1">
      <c r="C21" s="4" t="inlineStr">
        <is>
          <t>Phone (business-use %), car washes, delivery bags, accessories, and required gear go on Schedule C as separate expenses — not in this tracker. The mileage deduction only covers what the IRS calls the operating cost of the vehicle.</t>
        </is>
      </c>
    </row>
    <row r="23" ht="22" customHeight="1">
      <c r="B23" s="49" t="inlineStr">
        <is>
          <t>Q</t>
        </is>
      </c>
      <c r="C23" s="45" t="inlineStr">
        <is>
          <t>How long do I keep this log?</t>
        </is>
      </c>
    </row>
    <row r="24" ht="60" customHeight="1">
      <c r="C24" s="4" t="inlineStr">
        <is>
          <t>At least 3 years after you file. The IRS can audit up to 3 years routinely, 6 years for substantial under-reporting, and indefinitely for fraud. Save a PDF export each year and stash it with your tax records.</t>
        </is>
      </c>
    </row>
    <row r="26" ht="22" customHeight="1">
      <c r="B26" s="49" t="inlineStr">
        <is>
          <t>Q</t>
        </is>
      </c>
      <c r="C26" s="45" t="inlineStr">
        <is>
          <t>What if I drove for two platforms at the same time?</t>
        </is>
      </c>
    </row>
    <row r="27" ht="60" customHeight="1">
      <c r="C27" s="4" t="inlineStr">
        <is>
          <t>Log it once. You can't double-count miles. Pick the platform you were primarily working for on that trip.</t>
        </is>
      </c>
    </row>
    <row r="29" ht="22" customHeight="1">
      <c r="B29" s="49" t="inlineStr">
        <is>
          <t>Q</t>
        </is>
      </c>
      <c r="C29" s="45" t="inlineStr">
        <is>
          <t>Do I need a paper log too?</t>
        </is>
      </c>
    </row>
    <row r="30" ht="60" customHeight="1">
      <c r="C30" s="4" t="inlineStr">
        <is>
          <t>No. The IRS accepts digital records as long as they're contemporaneous (entered close to when the trip happened) and complete. This spreadsheet meets that standard.</t>
        </is>
      </c>
    </row>
    <row r="32" ht="22" customHeight="1">
      <c r="B32" s="49" t="inlineStr">
        <is>
          <t>Q</t>
        </is>
      </c>
      <c r="C32" s="45" t="inlineStr">
        <is>
          <t>What if I forget to log a day?</t>
        </is>
      </c>
    </row>
    <row r="33" ht="60" customHeight="1">
      <c r="C33" s="4" t="inlineStr">
        <is>
          <t>Reconstruct it from your platform's trip history (DoorDash, Uber, Lyft, etc. all keep one) within a few days. The IRS calls this 'reasonable reconstruction.' Don't wait until April.</t>
        </is>
      </c>
    </row>
  </sheetData>
  <mergeCells count="2">
    <mergeCell ref="B3:C3"/>
    <mergeCell ref="B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2026-05-11T17:26:14Z</dcterms:created>
  <dcterms:modified xsi:type="dcterms:W3CDTF">2026-05-11T17:26:14Z</dcterms:modified>
</cp:coreProperties>
</file>