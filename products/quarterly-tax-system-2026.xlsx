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Setup" sheetId="3" state="visible" r:id="rId3"/>
    <sheet name="Income Forecast" sheetId="4" state="visible" r:id="rId4"/>
    <sheet name="Tax Calculator" sheetId="5" state="visible" r:id="rId5"/>
    <sheet name="Quarterly Payments" sheetId="6" state="visible" r:id="rId6"/>
    <sheet name="Safe Harbor" sheetId="7" state="visible" r:id="rId7"/>
    <sheet name="Examples" sheetId="8" state="visible" r:id="rId8"/>
    <sheet name="IRS Reference" sheetId="9" state="visible" r:id="rId9"/>
  </sheets>
  <definedNames>
    <definedName name="TaxYear">Setup!$C$6</definedName>
    <definedName name="FilingStatus">Setup!$C$7</definedName>
    <definedName name="StateCode">Setup!$C$8</definedName>
    <definedName name="StateRate">Setup!$C$9</definedName>
    <definedName name="SEOverride">Setup!$C$12</definedName>
    <definedName name="W2Income">Setup!$C$13</definedName>
    <definedName name="W2Withheld">Setup!$C$14</definedName>
    <definedName name="LastYearTax">Setup!$C$17</definedName>
    <definedName name="LastYearAGI">Setup!$C$18</definedName>
    <definedName name="StdDedSingle">Setup!$C$21</definedName>
    <definedName name="StdDedMFJ">Setup!$C$22</definedName>
    <definedName name="StdDedHOH">Setup!$C$23</definedName>
    <definedName name="SSWageBase">Setup!$C$24</definedName>
    <definedName name="BracketsSingle">Setup!$B$28:$B$34</definedName>
    <definedName name="BracketsMFJ">Setup!$C$28:$C$34</definedName>
    <definedName name="BracketsRate">Setup!$D$28:$D$34</definedName>
    <definedName name="Q1Income">'Income Forecast'!$D$22</definedName>
    <definedName name="Q2Income">'Income Forecast'!$D$23</definedName>
    <definedName name="Q3Income">'Income Forecast'!$D$24</definedName>
    <definedName name="Q4Income">'Income Forecast'!$D$25</definedName>
    <definedName name="AnnualSEForecast">'Income Forecast'!$I$18</definedName>
    <definedName name="NetFedOwed">'Tax Calculator'!$C$23</definedName>
    <definedName name="NetStateOwed">'Tax Calculator'!$C$24</definedName>
    <definedName name="TotalFedTax">'Tax Calculator'!$C$21</definedName>
    <definedName name="SETax">'Tax Calculator'!$C$10</definedName>
    <definedName name="FedIncomeTax">'Tax Calculator'!$C$17</definedName>
    <definedName name="FedPaidYTD">'Quarterly Payments'!$F$11</definedName>
    <definedName name="StatePaidYTD">'Quarterly Payments'!$F$20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yyyy-mm-dd"/>
    <numFmt numFmtId="167" formatCode="&quot;$&quot;#,##0;[Red]-&quot;$&quot;#,##0;&quot;$&quot;0"/>
  </numFmts>
  <fonts count="46">
    <font>
      <name val="Calibri"/>
      <family val="2"/>
      <color theme="1"/>
      <sz val="11"/>
      <scheme val="minor"/>
    </font>
    <font>
      <name val="Calibri"/>
      <b val="1"/>
      <color rgb="FF1C2B4A"/>
      <sz val="26"/>
    </font>
    <font>
      <name val="Calibri"/>
      <i val="1"/>
      <color rgb="FFC9973A"/>
      <sz val="11"/>
    </font>
    <font>
      <name val="Calibri"/>
      <b val="1"/>
      <color rgb="FF1C2B4A"/>
      <sz val="15"/>
    </font>
    <font>
      <name val="Calibri"/>
      <color rgb="FF333333"/>
      <sz val="11"/>
    </font>
    <font>
      <name val="Calibri"/>
      <b val="1"/>
      <color rgb="FFC9973A"/>
      <sz val="22"/>
    </font>
    <font>
      <name val="Calibri"/>
      <b val="1"/>
      <color rgb="FF1C2B4A"/>
      <sz val="12"/>
    </font>
    <font>
      <name val="Calibri"/>
      <b val="1"/>
      <color rgb="FFFFFFFF"/>
      <sz val="11"/>
    </font>
    <font>
      <name val="Calibri"/>
      <b val="1"/>
      <color rgb="FF1C2B4A"/>
      <sz val="11"/>
    </font>
    <font>
      <name val="Calibri"/>
      <i val="1"/>
      <color rgb="FF6B7A96"/>
      <sz val="9"/>
    </font>
    <font>
      <name val="Calibri"/>
      <b val="1"/>
      <color rgb="FF1C2B4A"/>
      <sz val="22"/>
    </font>
    <font>
      <name val="Calibri"/>
      <color rgb="FF6B7A96"/>
      <sz val="10"/>
    </font>
    <font>
      <name val="Calibri"/>
      <b val="1"/>
      <color rgb="FF1C2B4A"/>
      <sz val="14"/>
    </font>
    <font>
      <name val="Calibri"/>
      <b val="1"/>
      <color rgb="FFC9973A"/>
      <sz val="12"/>
    </font>
    <font>
      <name val="Calibri"/>
      <b val="1"/>
      <color rgb="FF1C2B4A"/>
      <sz val="24"/>
    </font>
    <font>
      <name val="Calibri"/>
      <b val="1"/>
      <color rgb="FFC9973A"/>
      <sz val="11"/>
    </font>
    <font>
      <name val="Calibri"/>
      <b val="1"/>
      <color rgb="FF6B7A96"/>
      <sz val="10"/>
    </font>
    <font>
      <name val="Calibri"/>
      <b val="1"/>
      <color rgb="FFB83232"/>
      <sz val="22"/>
    </font>
    <font>
      <name val="Calibri"/>
      <b val="1"/>
      <color rgb="FF1C2B4A"/>
      <sz val="16"/>
    </font>
    <font>
      <name val="Consolas"/>
      <b val="1"/>
      <color rgb="FFC9973A"/>
      <sz val="11"/>
    </font>
    <font>
      <name val="Calibri"/>
      <b val="1"/>
      <color rgb="FF2D3068"/>
      <sz val="26"/>
    </font>
    <font>
      <name val="Calibri"/>
      <i val="1"/>
      <color rgb="FFC98A3A"/>
      <sz val="11"/>
    </font>
    <font>
      <name val="Calibri"/>
      <b val="1"/>
      <color rgb="FF2D3068"/>
      <sz val="15"/>
    </font>
    <font>
      <name val="Calibri"/>
      <b val="1"/>
      <color rgb="FFC98A3A"/>
      <sz val="22"/>
    </font>
    <font>
      <name val="Calibri"/>
      <b val="1"/>
      <color rgb="FF2D3068"/>
      <sz val="12"/>
    </font>
    <font>
      <name val="Calibri"/>
      <b val="1"/>
      <color rgb="FF2D3068"/>
      <sz val="11"/>
    </font>
    <font>
      <name val="Calibri"/>
      <i val="1"/>
      <color rgb="FF5F6385"/>
      <sz val="9"/>
    </font>
    <font>
      <name val="Calibri"/>
      <b val="1"/>
      <color rgb="FF2D3068"/>
      <sz val="24"/>
    </font>
    <font>
      <name val="Calibri"/>
      <color rgb="FF5F6385"/>
      <sz val="10"/>
    </font>
    <font>
      <name val="Calibri"/>
      <b val="1"/>
      <color rgb="FFC98A3A"/>
      <sz val="11"/>
    </font>
    <font>
      <name val="Calibri"/>
      <b val="1"/>
      <color rgb="FF5F6385"/>
      <sz val="10"/>
    </font>
    <font>
      <name val="Calibri"/>
      <b val="1"/>
      <color rgb="FF2D3068"/>
      <sz val="22"/>
    </font>
    <font>
      <name val="Calibri"/>
      <b val="1"/>
      <color rgb="FF2D3068"/>
      <sz val="16"/>
    </font>
    <font>
      <name val="Calibri"/>
      <b val="1"/>
      <color rgb="FF2D3068"/>
      <sz val="14"/>
    </font>
    <font>
      <name val="Consolas"/>
      <b val="1"/>
      <color rgb="FFC98A3A"/>
      <sz val="11"/>
    </font>
    <font>
      <name val="Calibri"/>
      <b val="1"/>
      <color rgb="FFC98A3A"/>
      <sz val="12"/>
    </font>
    <font>
      <name val="Calibri"/>
      <color rgb="FF2D3068"/>
      <sz val="11"/>
    </font>
    <font>
      <name val="Calibri"/>
      <b val="1"/>
      <color rgb="FFE89464"/>
      <sz val="10"/>
    </font>
    <font>
      <name val="Calibri"/>
      <b val="1"/>
      <i val="1"/>
      <color rgb="FF2D3068"/>
      <sz val="22"/>
    </font>
    <font>
      <name val="Calibri"/>
      <b val="1"/>
      <color rgb="FFE89464"/>
      <sz val="9"/>
    </font>
    <font>
      <name val="Calibri"/>
      <b val="1"/>
      <color rgb="FFFBF8EE"/>
      <sz val="28"/>
    </font>
    <font>
      <name val="Calibri"/>
      <b val="1"/>
      <color rgb="FF5F6385"/>
      <sz val="9"/>
    </font>
    <font>
      <name val="Calibri"/>
      <b val="1"/>
      <color rgb="FF2D3068"/>
      <sz val="20"/>
    </font>
    <font>
      <name val="Calibri"/>
      <b val="1"/>
      <i val="1"/>
      <color rgb="FFE89464"/>
      <sz val="14"/>
    </font>
    <font>
      <name val="Calibri"/>
      <b val="1"/>
      <color rgb="FFE89464"/>
      <sz val="14"/>
    </font>
    <font>
      <name val="Calibri"/>
      <b val="1"/>
      <color rgb="FF5A7A4F"/>
      <sz val="12"/>
    </font>
  </fonts>
  <fills count="13">
    <fill>
      <patternFill/>
    </fill>
    <fill>
      <patternFill patternType="gray125"/>
    </fill>
    <fill>
      <patternFill patternType="solid">
        <fgColor rgb="FF1C2B4A"/>
        <bgColor rgb="FF1C2B4A"/>
      </patternFill>
    </fill>
    <fill>
      <patternFill patternType="solid">
        <fgColor rgb="FFFDF5E8"/>
        <bgColor rgb="FFFDF5E8"/>
      </patternFill>
    </fill>
    <fill>
      <patternFill patternType="solid">
        <fgColor rgb="FFC9973A"/>
        <bgColor rgb="FFC9973A"/>
      </patternFill>
    </fill>
    <fill>
      <patternFill patternType="solid">
        <fgColor rgb="FFF0ECE3"/>
        <bgColor rgb="FFF0ECE3"/>
      </patternFill>
    </fill>
    <fill>
      <patternFill patternType="solid">
        <fgColor rgb="FFFAF8F4"/>
        <bgColor rgb="FFFAF8F4"/>
      </patternFill>
    </fill>
    <fill>
      <patternFill patternType="solid">
        <fgColor rgb="FFFBE9E9"/>
        <bgColor rgb="FFFBE9E9"/>
      </patternFill>
    </fill>
    <fill>
      <patternFill patternType="solid">
        <fgColor rgb="FF2D3068"/>
        <bgColor rgb="FF2D3068"/>
      </patternFill>
    </fill>
    <fill>
      <patternFill patternType="solid">
        <fgColor rgb="FFFBF8EE"/>
        <bgColor rgb="FFFBF8EE"/>
      </patternFill>
    </fill>
    <fill>
      <patternFill patternType="solid">
        <fgColor rgb="FFF5EBD8"/>
        <bgColor rgb="FFF5EBD8"/>
      </patternFill>
    </fill>
    <fill>
      <patternFill patternType="solid">
        <fgColor rgb="FFC98A3A"/>
        <bgColor rgb="FFC98A3A"/>
      </patternFill>
    </fill>
    <fill>
      <patternFill patternType="solid">
        <fgColor rgb="FFF0ECE1"/>
        <bgColor rgb="FFF0ECE1"/>
      </patternFill>
    </fill>
  </fills>
  <borders count="31">
    <border>
      <left/>
      <right/>
      <top/>
      <bottom/>
      <diagonal/>
    </border>
    <border>
      <left style="thin">
        <color rgb="FFE5E7ED"/>
      </left>
      <right style="thin">
        <color rgb="FFE5E7ED"/>
      </right>
      <top style="thin">
        <color rgb="FFE5E7ED"/>
      </top>
      <bottom style="thin">
        <color rgb="FFE5E7ED"/>
      </bottom>
    </border>
    <border>
      <left/>
      <right/>
      <top style="thin">
        <color rgb="FFE5E7ED"/>
      </top>
      <bottom/>
      <diagonal/>
    </border>
    <border>
      <left/>
      <right style="thin">
        <color rgb="FFE5E7ED"/>
      </right>
      <top style="thin">
        <color rgb="FFE5E7ED"/>
      </top>
      <bottom/>
      <diagonal/>
    </border>
    <border>
      <left/>
      <right style="thin">
        <color rgb="FFE5E7ED"/>
      </right>
      <top style="thin">
        <color rgb="FFE5E7ED"/>
      </top>
      <bottom style="thin">
        <color rgb="FFE5E7ED"/>
      </bottom>
      <diagonal/>
    </border>
    <border>
      <left/>
      <right/>
      <top style="thin">
        <color rgb="FFE5E7ED"/>
      </top>
      <bottom style="thin">
        <color rgb="FFE5E7ED"/>
      </bottom>
      <diagonal/>
    </border>
    <border>
      <left style="thin">
        <color rgb="FFC9973A"/>
      </left>
      <right style="thin">
        <color rgb="FFC9973A"/>
      </right>
      <top style="thin">
        <color rgb="FFC9973A"/>
      </top>
      <bottom style="thin">
        <color rgb="FFC9973A"/>
      </bottom>
    </border>
    <border>
      <left style="thin">
        <color rgb="FF1C2B4A"/>
      </left>
      <right style="thin">
        <color rgb="FF1C2B4A"/>
      </right>
      <top style="thin">
        <color rgb="FF1C2B4A"/>
      </top>
      <bottom style="thin">
        <color rgb="FF1C2B4A"/>
      </bottom>
    </border>
    <border>
      <left/>
      <right/>
      <top style="thin">
        <color rgb="FFC9973A"/>
      </top>
      <bottom/>
      <diagonal/>
    </border>
    <border>
      <left/>
      <right style="thin">
        <color rgb="FFC9973A"/>
      </right>
      <top style="thin">
        <color rgb="FFC9973A"/>
      </top>
      <bottom/>
      <diagonal/>
    </border>
    <border>
      <left/>
      <right style="thin">
        <color rgb="FFC9973A"/>
      </right>
      <top style="thin">
        <color rgb="FFC9973A"/>
      </top>
      <bottom style="thin">
        <color rgb="FFC9973A"/>
      </bottom>
      <diagonal/>
    </border>
    <border>
      <left style="thin">
        <color rgb="FFE5E7ED"/>
      </left>
      <right style="thin">
        <color rgb="FFE5E7ED"/>
      </right>
      <top style="thin">
        <color rgb="FFE5E7ED"/>
      </top>
      <bottom/>
    </border>
    <border>
      <left style="thin">
        <color rgb="FFE5E7ED"/>
      </left>
      <right style="thin">
        <color rgb="FFE5E7ED"/>
      </right>
      <top/>
      <bottom style="thin">
        <color rgb="FFE5E7ED"/>
      </bottom>
    </border>
    <border>
      <left/>
      <right style="thin">
        <color rgb="FFE5E7ED"/>
      </right>
      <top/>
      <bottom/>
      <diagonal/>
    </border>
    <border>
      <left/>
      <right style="thin">
        <color rgb="FFE5E7ED"/>
      </right>
      <top/>
      <bottom style="thin">
        <color rgb="FFE5E7ED"/>
      </bottom>
      <diagonal/>
    </border>
    <border>
      <left style="thin">
        <color rgb="FFE5E7ED"/>
      </left>
      <right style="thin">
        <color rgb="FFE5E7ED"/>
      </right>
      <top style="thin">
        <color rgb="FFE5E7ED"/>
      </top>
    </border>
    <border>
      <left style="thin">
        <color rgb="FFE5E7ED"/>
      </left>
      <right style="thin">
        <color rgb="FFE5E7ED"/>
      </right>
      <bottom style="thin">
        <color rgb="FFE5E7ED"/>
      </bottom>
    </border>
    <border>
      <left/>
      <right/>
      <top/>
      <bottom style="thin">
        <color rgb="FFE5E7ED"/>
      </bottom>
      <diagonal/>
    </border>
    <border>
      <left/>
      <right/>
      <top style="thin">
        <color rgb="FF1C2B4A"/>
      </top>
      <bottom/>
      <diagonal/>
    </border>
    <border>
      <left/>
      <right style="thin">
        <color rgb="FF1C2B4A"/>
      </right>
      <top style="thin">
        <color rgb="FF1C2B4A"/>
      </top>
      <bottom/>
      <diagonal/>
    </border>
    <border>
      <left/>
      <right style="thin">
        <color rgb="FF1C2B4A"/>
      </right>
      <top style="thin">
        <color rgb="FF1C2B4A"/>
      </top>
      <bottom style="thin">
        <color rgb="FF1C2B4A"/>
      </bottom>
      <diagonal/>
    </border>
    <border>
      <left style="thin">
        <color rgb="FF2D3068"/>
      </left>
      <right style="thin">
        <color rgb="FF2D3068"/>
      </right>
      <top style="thin">
        <color rgb="FF2D3068"/>
      </top>
      <bottom style="thin">
        <color rgb="FF2D3068"/>
      </bottom>
    </border>
    <border>
      <left/>
      <right style="thin">
        <color rgb="FF2D3068"/>
      </right>
      <top style="thin">
        <color rgb="FF2D3068"/>
      </top>
      <bottom style="thin">
        <color rgb="FF2D3068"/>
      </bottom>
      <diagonal/>
    </border>
    <border>
      <left style="thin">
        <color rgb="FFC98A3A"/>
      </left>
      <right style="thin">
        <color rgb="FFC98A3A"/>
      </right>
      <top style="thin">
        <color rgb="FFC98A3A"/>
      </top>
      <bottom style="thin">
        <color rgb="FFC98A3A"/>
      </bottom>
    </border>
    <border>
      <left/>
      <right style="thin">
        <color rgb="FFC98A3A"/>
      </right>
      <top style="thin">
        <color rgb="FFC98A3A"/>
      </top>
      <bottom style="thin">
        <color rgb="FFC98A3A"/>
      </bottom>
      <diagonal/>
    </border>
    <border>
      <left/>
      <right/>
      <top style="thin">
        <color rgb="FFC98A3A"/>
      </top>
      <bottom/>
      <diagonal/>
    </border>
    <border>
      <left/>
      <right style="thin">
        <color rgb="FFC98A3A"/>
      </right>
      <top style="thin">
        <color rgb="FFC98A3A"/>
      </top>
      <bottom/>
      <diagonal/>
    </border>
    <border>
      <left/>
      <right/>
      <top style="thin">
        <color rgb="FF2D3068"/>
      </top>
      <bottom/>
      <diagonal/>
    </border>
    <border>
      <left/>
      <right style="thin">
        <color rgb="FF2D3068"/>
      </right>
      <top style="thin">
        <color rgb="FF2D3068"/>
      </top>
      <bottom/>
      <diagonal/>
    </border>
    <border/>
    <border>
      <left style="thin">
        <color rgb="FFE5E5EB"/>
      </left>
      <right style="thin">
        <color rgb="FFE5E5EB"/>
      </right>
      <top style="thin">
        <color rgb="FFE5E5EB"/>
      </top>
      <bottom style="thin">
        <color rgb="FFE5E5EB"/>
      </bottom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center" vertical="top"/>
    </xf>
    <xf numFmtId="0" fontId="6" fillId="0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0" borderId="0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6" fillId="6" borderId="11" applyAlignment="1" pivotButton="0" quotePrefix="0" xfId="0">
      <alignment horizontal="left" vertical="center" indent="1"/>
    </xf>
    <xf numFmtId="0" fontId="0" fillId="0" borderId="3" pivotButton="0" quotePrefix="0" xfId="0"/>
    <xf numFmtId="0" fontId="16" fillId="3" borderId="11" applyAlignment="1" pivotButton="0" quotePrefix="0" xfId="0">
      <alignment horizontal="left" vertical="center" indent="1"/>
    </xf>
    <xf numFmtId="164" fontId="10" fillId="6" borderId="12" applyAlignment="1" pivotButton="0" quotePrefix="0" xfId="0">
      <alignment horizontal="left" vertical="center" indent="1"/>
    </xf>
    <xf numFmtId="0" fontId="0" fillId="0" borderId="14" pivotButton="0" quotePrefix="0" xfId="0"/>
    <xf numFmtId="164" fontId="5" fillId="3" borderId="12" applyAlignment="1" pivotButton="0" quotePrefix="0" xfId="0">
      <alignment horizontal="left" vertical="center" indent="1"/>
    </xf>
    <xf numFmtId="0" fontId="16" fillId="7" borderId="11" applyAlignment="1" pivotButton="0" quotePrefix="0" xfId="0">
      <alignment horizontal="left" vertical="center" indent="1"/>
    </xf>
    <xf numFmtId="164" fontId="17" fillId="7" borderId="12" applyAlignment="1" pivotButton="0" quotePrefix="0" xfId="0">
      <alignment horizontal="left" vertical="center" indent="1"/>
    </xf>
    <xf numFmtId="0" fontId="16" fillId="6" borderId="15" applyAlignment="1" pivotButton="0" quotePrefix="0" xfId="0">
      <alignment horizontal="left" vertical="center" indent="1"/>
    </xf>
    <xf numFmtId="0" fontId="0" fillId="0" borderId="2" pivotButton="0" quotePrefix="0" xfId="0"/>
    <xf numFmtId="0" fontId="18" fillId="6" borderId="16" applyAlignment="1" pivotButton="0" quotePrefix="0" xfId="0">
      <alignment horizontal="left" vertical="center" wrapText="1" indent="1"/>
    </xf>
    <xf numFmtId="0" fontId="0" fillId="0" borderId="17" pivotButton="0" quotePrefix="0" xfId="0"/>
    <xf numFmtId="0" fontId="12" fillId="6" borderId="16" applyAlignment="1" pivotButton="0" quotePrefix="0" xfId="0">
      <alignment horizontal="left" vertical="center" wrapText="1" indent="1"/>
    </xf>
    <xf numFmtId="0" fontId="7" fillId="2" borderId="7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6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right" vertical="center"/>
    </xf>
    <xf numFmtId="9" fontId="6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indent="1"/>
    </xf>
    <xf numFmtId="0" fontId="6" fillId="3" borderId="6" applyAlignment="1" pivotButton="0" quotePrefix="0" xfId="0">
      <alignment horizontal="left" vertical="center" wrapText="1"/>
    </xf>
    <xf numFmtId="0" fontId="0" fillId="0" borderId="10" pivotButton="0" quotePrefix="0" xfId="0"/>
    <xf numFmtId="164" fontId="6" fillId="3" borderId="6" applyAlignment="1" pivotButton="0" quotePrefix="0" xfId="0">
      <alignment horizontal="right" vertical="center"/>
    </xf>
    <xf numFmtId="9" fontId="6" fillId="3" borderId="6" applyAlignment="1" pivotButton="0" quotePrefix="0" xfId="0">
      <alignment horizontal="center" vertical="center" wrapText="1"/>
    </xf>
    <xf numFmtId="0" fontId="19" fillId="3" borderId="6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6" fillId="3" borderId="6" applyAlignment="1" pivotButton="0" quotePrefix="0" xfId="0">
      <alignment horizontal="right" vertical="center"/>
    </xf>
    <xf numFmtId="165" fontId="6" fillId="3" borderId="6" applyAlignment="1" pivotButton="0" quotePrefix="0" xfId="0">
      <alignment horizontal="right" vertical="center"/>
    </xf>
    <xf numFmtId="164" fontId="4" fillId="3" borderId="6" applyAlignment="1" pivotButton="0" quotePrefix="0" xfId="0">
      <alignment horizontal="right" vertical="center"/>
    </xf>
    <xf numFmtId="165" fontId="4" fillId="3" borderId="6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/>
    </xf>
    <xf numFmtId="166" fontId="4" fillId="3" borderId="6" pivotButton="0" quotePrefix="0" xfId="0"/>
    <xf numFmtId="0" fontId="4" fillId="3" borderId="6" applyAlignment="1" pivotButton="0" quotePrefix="0" xfId="0">
      <alignment horizontal="left" vertical="center" wrapText="1"/>
    </xf>
    <xf numFmtId="9" fontId="8" fillId="5" borderId="1" applyAlignment="1" pivotButton="0" quotePrefix="0" xfId="0">
      <alignment horizontal="right" vertical="center"/>
    </xf>
    <xf numFmtId="0" fontId="12" fillId="0" borderId="6" applyAlignment="1" pivotButton="0" quotePrefix="0" xfId="0">
      <alignment horizontal="center" vertical="center" wrapText="1"/>
    </xf>
    <xf numFmtId="0" fontId="7" fillId="2" borderId="0" pivotButton="0" quotePrefix="0" xfId="0"/>
    <xf numFmtId="0" fontId="4" fillId="6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 vertical="top"/>
    </xf>
    <xf numFmtId="0" fontId="24" fillId="0" borderId="0" applyAlignment="1" pivotButton="0" quotePrefix="0" xfId="0">
      <alignment horizontal="left" vertical="top" wrapText="1"/>
    </xf>
    <xf numFmtId="0" fontId="7" fillId="8" borderId="0" applyAlignment="1" pivotButton="0" quotePrefix="0" xfId="0">
      <alignment horizontal="center" vertical="center" wrapText="1"/>
    </xf>
    <xf numFmtId="0" fontId="25" fillId="0" borderId="1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left" vertical="center" wrapText="1"/>
    </xf>
    <xf numFmtId="0" fontId="28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0" fontId="30" fillId="9" borderId="11" applyAlignment="1" pivotButton="0" quotePrefix="0" xfId="0">
      <alignment horizontal="left" vertical="center" indent="1"/>
    </xf>
    <xf numFmtId="164" fontId="31" fillId="9" borderId="12" applyAlignment="1" pivotButton="0" quotePrefix="0" xfId="0">
      <alignment horizontal="left" vertical="center" indent="1"/>
    </xf>
    <xf numFmtId="164" fontId="23" fillId="9" borderId="12" applyAlignment="1" pivotButton="0" quotePrefix="0" xfId="0">
      <alignment horizontal="left" vertical="center" indent="1"/>
    </xf>
    <xf numFmtId="0" fontId="30" fillId="10" borderId="11" applyAlignment="1" pivotButton="0" quotePrefix="0" xfId="0">
      <alignment horizontal="left" vertical="center" indent="1"/>
    </xf>
    <xf numFmtId="164" fontId="17" fillId="10" borderId="12" applyAlignment="1" pivotButton="0" quotePrefix="0" xfId="0">
      <alignment horizontal="left" vertical="center" indent="1"/>
    </xf>
    <xf numFmtId="0" fontId="32" fillId="9" borderId="16" applyAlignment="1" pivotButton="0" quotePrefix="0" xfId="0">
      <alignment horizontal="left" vertical="center" wrapText="1" indent="1"/>
    </xf>
    <xf numFmtId="0" fontId="33" fillId="9" borderId="16" applyAlignment="1" pivotButton="0" quotePrefix="0" xfId="0">
      <alignment horizontal="left" vertical="center" wrapText="1" indent="1"/>
    </xf>
    <xf numFmtId="0" fontId="7" fillId="8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24" fillId="9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right" vertical="center"/>
    </xf>
    <xf numFmtId="9" fontId="24" fillId="0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left" vertical="center" indent="1"/>
    </xf>
    <xf numFmtId="0" fontId="24" fillId="9" borderId="23" applyAlignment="1" pivotButton="0" quotePrefix="0" xfId="0">
      <alignment horizontal="left" vertical="center" wrapText="1"/>
    </xf>
    <xf numFmtId="0" fontId="0" fillId="0" borderId="24" pivotButton="0" quotePrefix="0" xfId="0"/>
    <xf numFmtId="164" fontId="24" fillId="9" borderId="23" applyAlignment="1" pivotButton="0" quotePrefix="0" xfId="0">
      <alignment horizontal="right" vertical="center"/>
    </xf>
    <xf numFmtId="9" fontId="24" fillId="9" borderId="23" applyAlignment="1" pivotButton="0" quotePrefix="0" xfId="0">
      <alignment horizontal="center" vertical="center" wrapText="1"/>
    </xf>
    <xf numFmtId="0" fontId="34" fillId="9" borderId="23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top" wrapText="1"/>
    </xf>
    <xf numFmtId="0" fontId="31" fillId="0" borderId="0" applyAlignment="1" pivotButton="0" quotePrefix="0" xfId="0">
      <alignment horizontal="left" vertical="center" wrapText="1"/>
    </xf>
    <xf numFmtId="0" fontId="24" fillId="9" borderId="23" applyAlignment="1" pivotButton="0" quotePrefix="0" xfId="0">
      <alignment horizontal="right" vertical="center"/>
    </xf>
    <xf numFmtId="165" fontId="24" fillId="9" borderId="23" applyAlignment="1" pivotButton="0" quotePrefix="0" xfId="0">
      <alignment horizontal="right" vertical="center"/>
    </xf>
    <xf numFmtId="164" fontId="4" fillId="9" borderId="23" applyAlignment="1" pivotButton="0" quotePrefix="0" xfId="0">
      <alignment horizontal="right" vertical="center"/>
    </xf>
    <xf numFmtId="165" fontId="4" fillId="9" borderId="23" applyAlignment="1" pivotButton="0" quotePrefix="0" xfId="0">
      <alignment horizontal="right" vertical="center"/>
    </xf>
    <xf numFmtId="0" fontId="7" fillId="11" borderId="0" applyAlignment="1" pivotButton="0" quotePrefix="0" xfId="0">
      <alignment horizontal="center" vertical="center" wrapText="1"/>
    </xf>
    <xf numFmtId="164" fontId="25" fillId="12" borderId="1" applyAlignment="1" pivotButton="0" quotePrefix="0" xfId="0">
      <alignment horizontal="right" vertical="center"/>
    </xf>
    <xf numFmtId="164" fontId="25" fillId="0" borderId="1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wrapText="1"/>
    </xf>
    <xf numFmtId="164" fontId="24" fillId="9" borderId="1" applyAlignment="1" pivotButton="0" quotePrefix="0" xfId="0">
      <alignment horizontal="right" vertical="center"/>
    </xf>
    <xf numFmtId="166" fontId="4" fillId="9" borderId="23" pivotButton="0" quotePrefix="0" xfId="0"/>
    <xf numFmtId="0" fontId="4" fillId="9" borderId="23" applyAlignment="1" pivotButton="0" quotePrefix="0" xfId="0">
      <alignment horizontal="left" vertical="center" wrapText="1"/>
    </xf>
    <xf numFmtId="9" fontId="25" fillId="12" borderId="1" applyAlignment="1" pivotButton="0" quotePrefix="0" xfId="0">
      <alignment horizontal="right" vertical="center"/>
    </xf>
    <xf numFmtId="0" fontId="33" fillId="0" borderId="23" applyAlignment="1" pivotButton="0" quotePrefix="0" xfId="0">
      <alignment horizontal="center" vertical="center" wrapText="1"/>
    </xf>
    <xf numFmtId="0" fontId="7" fillId="8" borderId="0" pivotButton="0" quotePrefix="0" xfId="0"/>
    <xf numFmtId="0" fontId="4" fillId="9" borderId="0" applyAlignment="1" pivotButton="0" quotePrefix="0" xfId="0">
      <alignment horizontal="left" vertical="top" wrapText="1"/>
    </xf>
    <xf numFmtId="165" fontId="4" fillId="0" borderId="1" applyAlignment="1" pivotButton="0" quotePrefix="0" xfId="0">
      <alignment horizontal="right" vertical="center"/>
    </xf>
    <xf numFmtId="0" fontId="24" fillId="9" borderId="1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center" vertical="center" wrapText="1"/>
    </xf>
    <xf numFmtId="0" fontId="0" fillId="12" borderId="0" pivotButton="0" quotePrefix="0" xfId="0"/>
    <xf numFmtId="0" fontId="36" fillId="12" borderId="29" applyAlignment="1" pivotButton="0" quotePrefix="0" xfId="0">
      <alignment horizontal="left" vertical="center"/>
    </xf>
    <xf numFmtId="164" fontId="36" fillId="12" borderId="29" applyAlignment="1" pivotButton="0" quotePrefix="0" xfId="0">
      <alignment horizontal="left" vertical="center"/>
    </xf>
    <xf numFmtId="164" fontId="37" fillId="12" borderId="29" applyAlignment="1" pivotButton="0" quotePrefix="0" xfId="0">
      <alignment horizontal="left" vertical="center"/>
    </xf>
    <xf numFmtId="0" fontId="38" fillId="12" borderId="29" applyAlignment="1" pivotButton="0" quotePrefix="0" xfId="0">
      <alignment horizontal="left" vertical="center"/>
    </xf>
    <xf numFmtId="0" fontId="36" fillId="8" borderId="29" applyAlignment="1" pivotButton="0" quotePrefix="0" xfId="0">
      <alignment horizontal="left" vertical="center"/>
    </xf>
    <xf numFmtId="0" fontId="0" fillId="8" borderId="0" pivotButton="0" quotePrefix="0" xfId="0"/>
    <xf numFmtId="0" fontId="36" fillId="9" borderId="30" applyAlignment="1" pivotButton="0" quotePrefix="0" xfId="0">
      <alignment horizontal="left" vertical="center"/>
    </xf>
    <xf numFmtId="0" fontId="0" fillId="9" borderId="30" pivotButton="0" quotePrefix="0" xfId="0"/>
    <xf numFmtId="0" fontId="39" fillId="8" borderId="29" applyAlignment="1" pivotButton="0" quotePrefix="0" xfId="0">
      <alignment horizontal="left" vertical="center"/>
    </xf>
    <xf numFmtId="0" fontId="41" fillId="9" borderId="30" applyAlignment="1" pivotButton="0" quotePrefix="0" xfId="0">
      <alignment horizontal="left" vertical="center"/>
    </xf>
    <xf numFmtId="167" fontId="40" fillId="8" borderId="29" applyAlignment="1" pivotButton="0" quotePrefix="0" xfId="0">
      <alignment horizontal="left" vertical="center" indent="1"/>
    </xf>
    <xf numFmtId="164" fontId="31" fillId="9" borderId="30" applyAlignment="1" pivotButton="0" quotePrefix="0" xfId="0">
      <alignment horizontal="left" vertical="center" indent="1"/>
    </xf>
    <xf numFmtId="164" fontId="42" fillId="9" borderId="30" applyAlignment="1" pivotButton="0" quotePrefix="0" xfId="0">
      <alignment horizontal="left" vertical="center" indent="1"/>
    </xf>
    <xf numFmtId="9" fontId="36" fillId="12" borderId="29" applyAlignment="1" pivotButton="0" quotePrefix="0" xfId="0">
      <alignment horizontal="left" vertical="center"/>
    </xf>
    <xf numFmtId="0" fontId="37" fillId="12" borderId="29" applyAlignment="1" pivotButton="0" quotePrefix="0" xfId="0">
      <alignment horizontal="left" vertical="center"/>
    </xf>
    <xf numFmtId="0" fontId="43" fillId="12" borderId="29" applyAlignment="1" pivotButton="0" quotePrefix="0" xfId="0">
      <alignment horizontal="left" vertical="center"/>
    </xf>
    <xf numFmtId="164" fontId="28" fillId="12" borderId="29" applyAlignment="1" pivotButton="0" quotePrefix="0" xfId="0">
      <alignment horizontal="right" vertical="center"/>
    </xf>
    <xf numFmtId="164" fontId="25" fillId="12" borderId="29" applyAlignment="1" pivotButton="0" quotePrefix="0" xfId="0">
      <alignment horizontal="right" vertical="center"/>
    </xf>
    <xf numFmtId="0" fontId="28" fillId="12" borderId="29" applyAlignment="1" pivotButton="0" quotePrefix="0" xfId="0">
      <alignment horizontal="right" vertical="center"/>
    </xf>
    <xf numFmtId="0" fontId="28" fillId="12" borderId="0" applyAlignment="1" pivotButton="0" quotePrefix="0" xfId="0">
      <alignment horizontal="left" vertical="center"/>
    </xf>
    <xf numFmtId="164" fontId="33" fillId="12" borderId="0" applyAlignment="1" pivotButton="0" quotePrefix="0" xfId="0">
      <alignment horizontal="left" vertical="center"/>
    </xf>
    <xf numFmtId="164" fontId="44" fillId="12" borderId="0" applyAlignment="1" pivotButton="0" quotePrefix="0" xfId="0">
      <alignment horizontal="left" vertical="center"/>
    </xf>
    <xf numFmtId="0" fontId="45" fillId="12" borderId="0" applyAlignment="1" pivotButton="0" quotePrefix="0" xfId="0">
      <alignment horizontal="left" vertical="center"/>
    </xf>
    <xf numFmtId="0" fontId="24" fillId="12" borderId="0" applyAlignment="1" pivotButton="0" quotePrefix="0" xfId="0">
      <alignment horizontal="left" vertical="center"/>
    </xf>
  </cellXfs>
  <cellStyles count="1">
    <cellStyle name="Normal" xfId="0" builtinId="0" hidden="0"/>
  </cellStyles>
  <dxfs count="12">
    <dxf>
      <font>
        <name val="Calibri"/>
        <b val="1"/>
        <color rgb="FF276944"/>
        <sz val="16"/>
      </font>
      <fill>
        <patternFill patternType="solid">
          <fgColor rgb="FFEAF5EF"/>
          <bgColor rgb="FFEAF5EF"/>
        </patternFill>
      </fill>
    </dxf>
    <dxf>
      <font>
        <name val="Calibri"/>
        <b val="1"/>
        <color rgb="FFA86C0A"/>
        <sz val="16"/>
      </font>
      <fill>
        <patternFill patternType="solid">
          <fgColor rgb="FFFEF6E8"/>
          <bgColor rgb="FFFEF6E8"/>
        </patternFill>
      </fill>
    </dxf>
    <dxf>
      <font>
        <name val="Calibri"/>
        <b val="1"/>
        <color rgb="FF276944"/>
        <sz val="11"/>
      </font>
      <fill>
        <patternFill patternType="solid">
          <fgColor rgb="FFEAF5EF"/>
          <bgColor rgb="FFEAF5EF"/>
        </patternFill>
      </fill>
    </dxf>
    <dxf>
      <font>
        <name val="Calibri"/>
        <b val="1"/>
        <color rgb="FFA86C0A"/>
        <sz val="11"/>
      </font>
      <fill>
        <patternFill patternType="solid">
          <fgColor rgb="FFFEF6E8"/>
          <bgColor rgb="FFFEF6E8"/>
        </patternFill>
      </fill>
    </dxf>
    <dxf>
      <font>
        <name val="Calibri"/>
        <b val="1"/>
        <color rgb="FF276944"/>
        <sz val="12"/>
      </font>
      <fill>
        <patternFill patternType="solid">
          <fgColor rgb="FFEAF5EF"/>
          <bgColor rgb="FFEAF5EF"/>
        </patternFill>
      </fill>
    </dxf>
    <dxf>
      <font>
        <name val="Calibri"/>
        <b val="1"/>
        <color rgb="FFA86C0A"/>
        <sz val="12"/>
      </font>
      <fill>
        <patternFill patternType="solid">
          <fgColor rgb="FFFEF6E8"/>
          <bgColor rgb="FFFEF6E8"/>
        </patternFill>
      </fill>
    </dxf>
    <dxf>
      <font>
        <b val="1"/>
        <color rgb="FF276944"/>
      </font>
      <fill>
        <patternFill patternType="solid">
          <fgColor rgb="FFEAF5EF"/>
          <bgColor rgb="FFEAF5EF"/>
        </patternFill>
      </fill>
    </dxf>
    <dxf>
      <font>
        <b val="1"/>
        <color rgb="FFA86C0A"/>
      </font>
      <fill>
        <patternFill patternType="solid">
          <fgColor rgb="FFFEF6E8"/>
          <bgColor rgb="FFFEF6E8"/>
        </patternFill>
      </fill>
    </dxf>
    <dxf>
      <font>
        <b val="1"/>
        <color rgb="FFB83232"/>
      </font>
      <fill>
        <patternFill patternType="solid">
          <fgColor rgb="FFFBE9E9"/>
          <bgColor rgb="FFFBE9E9"/>
        </patternFill>
      </fill>
    </dxf>
    <dxf>
      <font>
        <b val="1"/>
        <color rgb="FF276944"/>
        <sz val="14"/>
      </font>
      <fill>
        <patternFill patternType="solid">
          <fgColor rgb="FFEAF5EF"/>
          <bgColor rgb="FFEAF5EF"/>
        </patternFill>
      </fill>
    </dxf>
    <dxf>
      <font>
        <b val="1"/>
        <color rgb="FFB83232"/>
        <sz val="14"/>
      </font>
      <fill>
        <patternFill patternType="solid">
          <fgColor rgb="FFFBE9E9"/>
          <bgColor rgb="FFFBE9E9"/>
        </patternFill>
      </fill>
    </dxf>
    <dxf>
      <font>
        <b val="1"/>
        <color rgb="FFA86C0A"/>
        <sz val="14"/>
      </font>
      <fill>
        <patternFill patternType="solid">
          <fgColor rgb="FFFEF6E8"/>
          <bgColor rgb="FFFEF6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8382000" cy="16764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D3068"/>
    <outlinePr summaryBelow="1" summaryRight="1"/>
    <pageSetUpPr/>
  </sheetPr>
  <dimension ref="B2:H24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 ht="38" customHeight="1">
      <c r="B2" s="63" t="inlineStr">
        <is>
          <t>Quarterly Tax System 2026</t>
        </is>
      </c>
    </row>
    <row r="3">
      <c r="B3" s="64" t="inlineStr">
        <is>
          <t>SideHustleGuard · sidehustleguard.com</t>
        </is>
      </c>
    </row>
    <row r="5" ht="6" customHeight="1"/>
    <row r="6" ht="22" customHeight="1">
      <c r="B6" s="65" t="inlineStr">
        <is>
          <t>What this tool does</t>
        </is>
      </c>
    </row>
    <row r="7" ht="85" customHeight="1">
      <c r="B7" s="4" t="inlineStr">
        <is>
          <t>Tells you exactly how much to send the IRS (and your state) each quarter so you never get hit with an underpayment penalty in April. Works for any self-employed income — gig driving, Airbnb, Etsy, freelance, consulting, multiple streams. Builds a complete record of every payment so when you sit down with your CPA in March, the work is already done.</t>
        </is>
      </c>
    </row>
    <row r="9" ht="22" customHeight="1">
      <c r="B9" s="65" t="inlineStr">
        <is>
          <t>How to use it (3 steps)</t>
        </is>
      </c>
    </row>
    <row r="10" ht="56" customHeight="1">
      <c r="B10" s="66" t="inlineStr">
        <is>
          <t>1.</t>
        </is>
      </c>
      <c r="C10" s="67" t="inlineStr">
        <is>
          <t>Fill in the Setup tab.</t>
        </is>
      </c>
      <c r="D10" s="4" t="inlineStr">
        <is>
          <t>Filing status, state, what you expect to make this year, what you owed in tax last year, and any W-2 income from a day job. Defaults are pre-filled — just edit the gold cells.</t>
        </is>
      </c>
    </row>
    <row r="11" ht="56" customHeight="1">
      <c r="B11" s="66" t="inlineStr">
        <is>
          <t>2.</t>
        </is>
      </c>
      <c r="C11" s="67" t="inlineStr">
        <is>
          <t>Forecast your year on the Income Forecast tab.</t>
        </is>
      </c>
      <c r="D11" s="4" t="inlineStr">
        <is>
          <t>Drop in your expected net income (after deductions like mileage) for each month. You can break it down by platform (DoorDash + Etsy + freelance) or just enter one annual number.</t>
        </is>
      </c>
    </row>
    <row r="12" ht="56" customHeight="1">
      <c r="B12" s="66" t="inlineStr">
        <is>
          <t>3.</t>
        </is>
      </c>
      <c r="C12" s="67" t="inlineStr">
        <is>
          <t>Check the Quarterly Payments tab before each due date.</t>
        </is>
      </c>
      <c r="D12" s="4" t="inlineStr">
        <is>
          <t>It shows you exactly what to send the IRS for Q1, Q2, Q3, Q4, and the state. Log each payment in the same tab so you have a complete record.</t>
        </is>
      </c>
    </row>
    <row r="14" ht="22" customHeight="1">
      <c r="B14" s="65" t="inlineStr">
        <is>
          <t>Quarterly due dates</t>
        </is>
      </c>
    </row>
    <row r="15" ht="24" customHeight="1">
      <c r="B15" s="68" t="inlineStr">
        <is>
          <t>Quarter</t>
        </is>
      </c>
      <c r="C15" s="68" t="inlineStr">
        <is>
          <t>Covers income from</t>
        </is>
      </c>
      <c r="D15" s="68" t="inlineStr">
        <is>
          <t>Federal due</t>
        </is>
      </c>
      <c r="F15" s="68" t="inlineStr">
        <is>
          <t>State due (most states)</t>
        </is>
      </c>
    </row>
    <row r="16" ht="22" customHeight="1">
      <c r="B16" s="8" t="inlineStr">
        <is>
          <t>Q1</t>
        </is>
      </c>
      <c r="C16" s="9" t="inlineStr">
        <is>
          <t>Jan – Mar</t>
        </is>
      </c>
      <c r="D16" s="69" t="inlineStr">
        <is>
          <t>April 15</t>
        </is>
      </c>
      <c r="E16" s="11" t="n"/>
      <c r="F16" s="9" t="inlineStr">
        <is>
          <t>April 15 (same)</t>
        </is>
      </c>
      <c r="G16" s="12" t="n"/>
      <c r="H16" s="11" t="n"/>
    </row>
    <row r="17" ht="22" customHeight="1">
      <c r="B17" s="8" t="inlineStr">
        <is>
          <t>Q2</t>
        </is>
      </c>
      <c r="C17" s="9" t="inlineStr">
        <is>
          <t>Apr – May</t>
        </is>
      </c>
      <c r="D17" s="69" t="inlineStr">
        <is>
          <t>June 15</t>
        </is>
      </c>
      <c r="E17" s="11" t="n"/>
      <c r="F17" s="9" t="inlineStr">
        <is>
          <t>June 15 (same)</t>
        </is>
      </c>
      <c r="G17" s="12" t="n"/>
      <c r="H17" s="11" t="n"/>
    </row>
    <row r="18" ht="22" customHeight="1">
      <c r="B18" s="8" t="inlineStr">
        <is>
          <t>Q3</t>
        </is>
      </c>
      <c r="C18" s="9" t="inlineStr">
        <is>
          <t>Jun – Aug</t>
        </is>
      </c>
      <c r="D18" s="69" t="inlineStr">
        <is>
          <t>September 15</t>
        </is>
      </c>
      <c r="E18" s="11" t="n"/>
      <c r="F18" s="9" t="inlineStr">
        <is>
          <t>September 15 (same)</t>
        </is>
      </c>
      <c r="G18" s="12" t="n"/>
      <c r="H18" s="11" t="n"/>
    </row>
    <row r="19" ht="22" customHeight="1">
      <c r="B19" s="8" t="inlineStr">
        <is>
          <t>Q4</t>
        </is>
      </c>
      <c r="C19" s="9" t="inlineStr">
        <is>
          <t>Sep – Dec</t>
        </is>
      </c>
      <c r="D19" s="69" t="inlineStr">
        <is>
          <t>January 15 (next year)</t>
        </is>
      </c>
      <c r="E19" s="11" t="n"/>
      <c r="F19" s="9" t="inlineStr">
        <is>
          <t>January 15 (next year)</t>
        </is>
      </c>
      <c r="G19" s="12" t="n"/>
      <c r="H19" s="11" t="n"/>
    </row>
    <row r="21" ht="22" customHeight="1">
      <c r="B21" s="65" t="inlineStr">
        <is>
          <t>Why this matters</t>
        </is>
      </c>
    </row>
    <row r="22" ht="80" customHeight="1">
      <c r="B22" s="4" t="inlineStr">
        <is>
          <t>If you owe more than $1,000 in tax and didn't make quarterly payments — or paid less than the "safe harbor" amount — the IRS adds an underpayment penalty on top of what you owe. The penalty is calculated quarterly at the federal short-term rate plus 3% (typically 6–8% annualized). On a $15,000 tax bill, that's an extra $400–$800 that didn't have to exist. This tool exists to make sure you hit one of the two safe-harbor tests so the penalty never applies.</t>
        </is>
      </c>
    </row>
    <row r="24" ht="50" customHeight="1">
      <c r="B24" s="70" t="inlineStr">
        <is>
          <t>Educational tool only — not tax or legal advice. Tax brackets, SE tax wage base, and state rates change annually. Verify all defaults against current IRS and state publications. For complex situations (W-2 + SE income, joint filers with separate businesses, large investment income), consult a CPA.</t>
        </is>
      </c>
    </row>
  </sheetData>
  <mergeCells count="22">
    <mergeCell ref="B9:H9"/>
    <mergeCell ref="F18:H18"/>
    <mergeCell ref="D10:H10"/>
    <mergeCell ref="D19:E19"/>
    <mergeCell ref="B6:H6"/>
    <mergeCell ref="B24:H24"/>
    <mergeCell ref="F17:H17"/>
    <mergeCell ref="D11:H11"/>
    <mergeCell ref="B7:H7"/>
    <mergeCell ref="B3:H3"/>
    <mergeCell ref="D17:E17"/>
    <mergeCell ref="B22:H22"/>
    <mergeCell ref="D16:E16"/>
    <mergeCell ref="B21:H21"/>
    <mergeCell ref="B2:H2"/>
    <mergeCell ref="D18:E18"/>
    <mergeCell ref="D12:H12"/>
    <mergeCell ref="B14:H14"/>
    <mergeCell ref="F16:H16"/>
    <mergeCell ref="F19:H19"/>
    <mergeCell ref="D15:E15"/>
    <mergeCell ref="F15:H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3068"/>
    <outlinePr summaryBelow="1" summaryRight="1"/>
    <pageSetUpPr/>
  </sheetPr>
  <dimension ref="A1:J32"/>
  <sheetViews>
    <sheetView showGridLines="0" showRowColHeaders="0" zoomScale="11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" customWidth="1" min="1" max="1"/>
    <col width="22" customWidth="1" min="2" max="2"/>
    <col width="14" customWidth="1" min="3" max="3"/>
    <col width="22" customWidth="1" min="4" max="4"/>
    <col width="14" customWidth="1" min="5" max="5"/>
    <col width="4" customWidth="1" min="6" max="6"/>
    <col width="22" customWidth="1" min="7" max="7"/>
    <col width="14" customWidth="1" min="8" max="8"/>
    <col width="22" customWidth="1" min="9" max="9"/>
    <col width="14" customWidth="1" min="10" max="10"/>
  </cols>
  <sheetData>
    <row r="1" ht="22" customHeight="1">
      <c r="A1" s="112" t="n"/>
      <c r="B1" s="112" t="n"/>
      <c r="C1" s="112" t="n"/>
      <c r="D1" s="112" t="n"/>
      <c r="E1" s="112" t="n"/>
      <c r="F1" s="112" t="n"/>
      <c r="G1" s="112" t="n"/>
      <c r="H1" s="112" t="n"/>
      <c r="I1" s="112" t="n"/>
      <c r="J1" s="112" t="n"/>
    </row>
    <row r="2" ht="22" customHeight="1">
      <c r="A2" s="113" t="n"/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</row>
    <row r="3" ht="22" customHeight="1">
      <c r="A3" s="113" t="n"/>
      <c r="B3" s="113" t="n"/>
      <c r="C3" s="113" t="n"/>
      <c r="D3" s="113" t="n"/>
      <c r="E3" s="113" t="n"/>
      <c r="F3" s="113" t="n"/>
      <c r="G3" s="113" t="n"/>
      <c r="H3" s="113" t="n"/>
      <c r="I3" s="113" t="n"/>
      <c r="J3" s="113" t="n"/>
    </row>
    <row r="4" ht="22" customHeight="1">
      <c r="A4" s="113" t="n"/>
      <c r="B4" s="113" t="n"/>
      <c r="C4" s="113" t="n"/>
      <c r="D4" s="113" t="n"/>
      <c r="E4" s="113" t="n"/>
      <c r="F4" s="113" t="n"/>
      <c r="G4" s="113" t="n"/>
      <c r="H4" s="113" t="n"/>
      <c r="I4" s="113" t="n"/>
      <c r="J4" s="113" t="n"/>
    </row>
    <row r="5" ht="22" customHeight="1">
      <c r="A5" s="113" t="n"/>
      <c r="B5" s="113" t="n"/>
      <c r="C5" s="113" t="n"/>
      <c r="D5" s="113" t="n"/>
      <c r="E5" s="113" t="n"/>
      <c r="F5" s="113" t="n"/>
      <c r="G5" s="113" t="n"/>
      <c r="H5" s="113" t="n"/>
      <c r="I5" s="113" t="n"/>
      <c r="J5" s="113" t="n"/>
    </row>
    <row r="6" ht="22" customHeight="1">
      <c r="A6" s="113" t="n"/>
      <c r="B6" s="113" t="n"/>
      <c r="C6" s="113" t="n"/>
      <c r="D6" s="113" t="n"/>
      <c r="E6" s="113" t="n"/>
      <c r="F6" s="113" t="n"/>
      <c r="G6" s="113" t="n"/>
      <c r="H6" s="113" t="n"/>
      <c r="I6" s="113" t="n"/>
      <c r="J6" s="113" t="n"/>
    </row>
    <row r="7" ht="22" customHeight="1">
      <c r="A7" s="113" t="n"/>
      <c r="B7" s="114" t="n"/>
      <c r="C7" s="113" t="n"/>
      <c r="D7" s="114" t="n"/>
      <c r="E7" s="113" t="n"/>
      <c r="F7" s="113" t="n"/>
      <c r="G7" s="114" t="n"/>
      <c r="H7" s="113" t="n"/>
      <c r="I7" s="114" t="n"/>
      <c r="J7" s="113" t="n"/>
    </row>
    <row r="8" ht="22" customHeight="1">
      <c r="A8" s="113" t="n"/>
      <c r="B8" s="113" t="n"/>
      <c r="C8" s="113" t="n"/>
      <c r="D8" s="113" t="n"/>
      <c r="E8" s="113" t="n"/>
      <c r="F8" s="113" t="n"/>
      <c r="G8" s="113" t="n"/>
      <c r="H8" s="113" t="n"/>
      <c r="I8" s="113" t="n"/>
      <c r="J8" s="113" t="n"/>
    </row>
    <row r="9" ht="22" customHeight="1">
      <c r="A9" s="113" t="n"/>
      <c r="B9" s="113" t="n"/>
      <c r="C9" s="113" t="n"/>
      <c r="D9" s="113" t="n"/>
      <c r="E9" s="113" t="n"/>
      <c r="F9" s="113" t="n"/>
      <c r="G9" s="113" t="n"/>
      <c r="H9" s="113" t="n"/>
      <c r="I9" s="113" t="n"/>
      <c r="J9" s="113" t="n"/>
    </row>
    <row r="10" ht="22" customHeight="1">
      <c r="A10" s="113" t="n"/>
      <c r="B10" s="113" t="n"/>
      <c r="C10" s="113" t="n"/>
      <c r="D10" s="113" t="n"/>
      <c r="E10" s="113" t="n"/>
      <c r="F10" s="113" t="n"/>
      <c r="G10" s="113" t="n"/>
      <c r="H10" s="113" t="n"/>
      <c r="I10" s="113" t="n"/>
      <c r="J10" s="113" t="n"/>
    </row>
    <row r="11" ht="24" customHeight="1">
      <c r="A11" s="113" t="n"/>
      <c r="B11" s="113" t="n"/>
      <c r="C11" s="113" t="n"/>
      <c r="D11" s="113" t="n"/>
      <c r="E11" s="113" t="n"/>
      <c r="F11" s="113" t="n"/>
      <c r="G11" s="113" t="n"/>
      <c r="H11" s="113" t="n"/>
      <c r="I11" s="113" t="n"/>
      <c r="J11" s="113" t="n"/>
    </row>
    <row r="12" ht="16" customHeight="1">
      <c r="A12" s="113" t="n"/>
      <c r="B12" s="115" t="inlineStr">
        <is>
          <t>ANNUAL  TAX  PICTURE</t>
        </is>
      </c>
    </row>
    <row r="13" ht="34" customHeight="1">
      <c r="A13" s="113" t="n"/>
      <c r="B13" s="116" t="inlineStr">
        <is>
          <t>What you'll owe in 2026</t>
        </is>
      </c>
    </row>
    <row r="14" ht="12" customHeight="1">
      <c r="A14" s="113" t="n"/>
      <c r="B14" s="113" t="n"/>
      <c r="C14" s="113" t="n"/>
      <c r="D14" s="113" t="n"/>
      <c r="E14" s="113" t="n"/>
      <c r="F14" s="113" t="n"/>
      <c r="G14" s="113" t="n"/>
      <c r="H14" s="113" t="n"/>
      <c r="I14" s="113" t="n"/>
      <c r="J14" s="113" t="n"/>
    </row>
    <row r="15" ht="8" customHeight="1">
      <c r="A15" s="113" t="n"/>
      <c r="B15" s="117" t="n"/>
      <c r="C15" s="118" t="n"/>
      <c r="D15" s="118" t="n"/>
      <c r="E15" s="118" t="n"/>
      <c r="F15" s="113" t="n"/>
      <c r="G15" s="119" t="n"/>
      <c r="H15" s="120" t="n"/>
      <c r="I15" s="120" t="n"/>
      <c r="J15" s="120" t="n"/>
    </row>
    <row r="16" ht="16" customHeight="1">
      <c r="A16" s="113" t="n"/>
      <c r="B16" s="121" t="inlineStr">
        <is>
          <t xml:space="preserve">  TOTAL ANNUAL OWED</t>
        </is>
      </c>
      <c r="C16" s="118" t="n"/>
      <c r="D16" s="118" t="n"/>
      <c r="E16" s="118" t="n"/>
      <c r="F16" s="113" t="n"/>
      <c r="G16" s="122" t="inlineStr">
        <is>
          <t xml:space="preserve">  PER QUARTER  (FED)</t>
        </is>
      </c>
      <c r="H16" s="120" t="n"/>
      <c r="I16" s="120" t="n"/>
      <c r="J16" s="120" t="n"/>
    </row>
    <row r="17" ht="34" customHeight="1">
      <c r="A17" s="113" t="n"/>
      <c r="B17" s="123">
        <f>SETax+FedIncomeTax+'Tax Calculator'!$C$20</f>
        <v/>
      </c>
      <c r="C17" s="118" t="n"/>
      <c r="D17" s="118" t="n"/>
      <c r="E17" s="118" t="n"/>
      <c r="F17" s="113" t="n"/>
      <c r="G17" s="124">
        <f>ROUND(NetFedOwed/4,0)</f>
        <v/>
      </c>
      <c r="H17" s="120" t="n"/>
      <c r="I17" s="120" t="n"/>
      <c r="J17" s="120" t="n"/>
    </row>
    <row r="18" ht="14" customHeight="1">
      <c r="A18" s="113" t="n"/>
      <c r="B18" s="117" t="n"/>
      <c r="C18" s="118" t="n"/>
      <c r="D18" s="118" t="n"/>
      <c r="E18" s="118" t="n"/>
      <c r="F18" s="113" t="n"/>
      <c r="G18" s="119" t="n"/>
      <c r="H18" s="120" t="n"/>
      <c r="I18" s="120" t="n"/>
      <c r="J18" s="120" t="n"/>
    </row>
    <row r="19" ht="6" customHeight="1">
      <c r="A19" s="113" t="n"/>
      <c r="B19" s="119" t="n"/>
      <c r="C19" s="120" t="n"/>
      <c r="D19" s="120" t="n"/>
      <c r="E19" s="120" t="n"/>
      <c r="F19" s="113" t="n"/>
      <c r="G19" s="119" t="n"/>
      <c r="H19" s="120" t="n"/>
      <c r="I19" s="120" t="n"/>
      <c r="J19" s="120" t="n"/>
    </row>
    <row r="20" ht="16" customHeight="1">
      <c r="A20" s="113" t="n"/>
      <c r="B20" s="122" t="inlineStr">
        <is>
          <t xml:space="preserve">  SE TAX  (15.3%)</t>
        </is>
      </c>
      <c r="C20" s="120" t="n"/>
      <c r="D20" s="120" t="n"/>
      <c r="E20" s="120" t="n"/>
      <c r="F20" s="113" t="n"/>
      <c r="G20" s="122" t="inlineStr">
        <is>
          <t xml:space="preserve">  FED INCOME TAX</t>
        </is>
      </c>
      <c r="H20" s="120" t="n"/>
      <c r="I20" s="120" t="n"/>
      <c r="J20" s="120" t="n"/>
    </row>
    <row r="21" ht="28" customHeight="1">
      <c r="A21" s="113" t="n"/>
      <c r="B21" s="125">
        <f>SETax</f>
        <v/>
      </c>
      <c r="C21" s="120" t="n"/>
      <c r="D21" s="120" t="n"/>
      <c r="E21" s="120" t="n"/>
      <c r="F21" s="113" t="n"/>
      <c r="G21" s="125">
        <f>FedIncomeTax</f>
        <v/>
      </c>
      <c r="H21" s="120" t="n"/>
      <c r="I21" s="120" t="n"/>
      <c r="J21" s="120" t="n"/>
    </row>
    <row r="22" ht="8" customHeight="1">
      <c r="A22" s="113" t="n"/>
      <c r="B22" s="119" t="n"/>
      <c r="C22" s="120" t="n"/>
      <c r="D22" s="120" t="n"/>
      <c r="E22" s="120" t="n"/>
      <c r="F22" s="113" t="n"/>
      <c r="G22" s="119" t="n"/>
      <c r="H22" s="120" t="n"/>
      <c r="I22" s="120" t="n"/>
      <c r="J22" s="120" t="n"/>
    </row>
    <row r="23" ht="16" customHeight="1">
      <c r="A23" s="113" t="n"/>
      <c r="B23" s="113" t="n"/>
      <c r="C23" s="113" t="n"/>
      <c r="D23" s="114" t="n"/>
      <c r="E23" s="114" t="n"/>
      <c r="F23" s="113" t="n"/>
      <c r="G23" s="114" t="n"/>
      <c r="H23" s="126" t="n"/>
      <c r="I23" s="113" t="n"/>
      <c r="J23" s="113" t="n"/>
    </row>
    <row r="24" ht="20" customHeight="1">
      <c r="A24" s="113" t="n"/>
      <c r="B24" s="127" t="inlineStr">
        <is>
          <t>QUARTERLY  PROGRESS  ·  FEDERAL</t>
        </is>
      </c>
    </row>
    <row r="25" ht="22" customHeight="1">
      <c r="A25" s="113" t="n"/>
      <c r="B25" s="128" t="inlineStr">
        <is>
          <t xml:space="preserve">  Q1</t>
        </is>
      </c>
      <c r="C25" s="129">
        <f>ROUND(NetFedOwed/4,0)</f>
        <v/>
      </c>
      <c r="D25" s="130">
        <f>'Quarterly Payments'!$F$7</f>
        <v/>
      </c>
      <c r="E25" s="114" t="n"/>
      <c r="F25" s="113" t="n"/>
      <c r="G25" s="114" t="n"/>
      <c r="H25" s="126" t="n"/>
      <c r="I25" s="113" t="n"/>
      <c r="J25" s="131">
        <f>IF(D25&gt;=C25,"✓ on target",IF(D25&gt;0,"in progress","—"))</f>
        <v/>
      </c>
    </row>
    <row r="26" ht="22" customHeight="1">
      <c r="A26" s="113" t="n"/>
      <c r="B26" s="128" t="inlineStr">
        <is>
          <t xml:space="preserve">  Q2</t>
        </is>
      </c>
      <c r="C26" s="129">
        <f>ROUND(NetFedOwed/4,0)</f>
        <v/>
      </c>
      <c r="D26" s="130">
        <f>'Quarterly Payments'!$F$8</f>
        <v/>
      </c>
      <c r="E26" s="114" t="n"/>
      <c r="F26" s="113" t="n"/>
      <c r="G26" s="114" t="n"/>
      <c r="H26" s="126" t="n"/>
      <c r="I26" s="113" t="n"/>
      <c r="J26" s="131">
        <f>IF(D26&gt;=C26,"✓ on target",IF(D26&gt;0,"in progress","—"))</f>
        <v/>
      </c>
    </row>
    <row r="27" ht="22" customHeight="1">
      <c r="A27" s="113" t="n"/>
      <c r="B27" s="128" t="inlineStr">
        <is>
          <t xml:space="preserve">  Q3</t>
        </is>
      </c>
      <c r="C27" s="129">
        <f>ROUND(NetFedOwed/4,0)</f>
        <v/>
      </c>
      <c r="D27" s="130">
        <f>'Quarterly Payments'!$F$9</f>
        <v/>
      </c>
      <c r="E27" s="114" t="n"/>
      <c r="F27" s="113" t="n"/>
      <c r="G27" s="114" t="n"/>
      <c r="H27" s="126" t="n"/>
      <c r="I27" s="113" t="n"/>
      <c r="J27" s="131">
        <f>IF(D27&gt;=C27,"✓ on target",IF(D27&gt;0,"in progress","—"))</f>
        <v/>
      </c>
    </row>
    <row r="28" ht="22" customHeight="1">
      <c r="A28" s="113" t="n"/>
      <c r="B28" s="128" t="inlineStr">
        <is>
          <t xml:space="preserve">  Q4</t>
        </is>
      </c>
      <c r="C28" s="129">
        <f>ROUND(NetFedOwed/4,0)</f>
        <v/>
      </c>
      <c r="D28" s="130">
        <f>'Quarterly Payments'!$F$10</f>
        <v/>
      </c>
      <c r="E28" s="113" t="n"/>
      <c r="F28" s="113" t="n"/>
      <c r="G28" s="113" t="n"/>
      <c r="H28" s="113" t="n"/>
      <c r="I28" s="113" t="n"/>
      <c r="J28" s="131">
        <f>IF(D28&gt;=C28,"✓ on target",IF(D28&gt;0,"in progress","—"))</f>
        <v/>
      </c>
    </row>
    <row r="29" ht="14" customHeight="1">
      <c r="A29" s="113" t="n"/>
      <c r="B29" s="113" t="n"/>
      <c r="C29" s="113" t="n"/>
      <c r="D29" s="113" t="n"/>
      <c r="E29" s="113" t="n"/>
      <c r="F29" s="113" t="n"/>
      <c r="G29" s="113" t="n"/>
      <c r="H29" s="113" t="n"/>
      <c r="I29" s="113" t="n"/>
      <c r="J29" s="113" t="n"/>
    </row>
    <row r="30" ht="16" customHeight="1">
      <c r="A30" s="113" t="n"/>
      <c r="B30" s="127" t="inlineStr">
        <is>
          <t>WHERE  YOU  STAND  TODAY</t>
        </is>
      </c>
    </row>
    <row r="31" ht="22" customHeight="1">
      <c r="A31" s="112" t="n"/>
      <c r="B31" s="132" t="inlineStr">
        <is>
          <t>Fed paid YTD</t>
        </is>
      </c>
      <c r="D31" s="133">
        <f>FedPaidYTD</f>
        <v/>
      </c>
      <c r="E31" s="112" t="n"/>
      <c r="F31" s="112" t="n"/>
      <c r="G31" s="132" t="inlineStr">
        <is>
          <t>Remaining federal</t>
        </is>
      </c>
      <c r="I31" s="134">
        <f>MAX(NetFedOwed-FedPaidYTD,0)</f>
        <v/>
      </c>
      <c r="J31" s="112" t="n"/>
    </row>
    <row r="32" ht="22" customHeight="1">
      <c r="B32" s="132" t="inlineStr">
        <is>
          <t>Penalty-safe status</t>
        </is>
      </c>
      <c r="D32" s="135">
        <f>IF(OR('Safe Harbor'!$C$8&gt;='Safe Harbor'!$C$7,'Safe Harbor'!$C$14&gt;='Safe Harbor'!$C$13),"✓ Penalty-safe","⚠ Not yet penalty-safe")</f>
        <v/>
      </c>
      <c r="E32" s="112" t="n"/>
      <c r="F32" s="112" t="n"/>
      <c r="G32" s="132" t="inlineStr">
        <is>
          <t>Next deadline</t>
        </is>
      </c>
      <c r="I32" s="136">
        <f>IF(TODAY()&lt;=DATE(TaxYear,4,15),"Q1 — April 15, "&amp;TEXT(DATE(TaxYear,4,15)-TODAY(),"0")&amp;" days away",IF(TODAY()&lt;=DATE(TaxYear,6,15),"Q2 — June 15, "&amp;TEXT(DATE(TaxYear,6,15)-TODAY(),"0")&amp;" days away",IF(TODAY()&lt;=DATE(TaxYear,9,15),"Q3 — September 15, "&amp;TEXT(DATE(TaxYear,9,15)-TODAY(),"0")&amp;" days away",IF(TODAY()&lt;=DATE(TaxYear+1,1,15),"Q4 — January 15 (next year), "&amp;TEXT(DATE(TaxYear+1,1,15)-TODAY(),"0")&amp;" days away","All quarterly deadlines passed for "&amp;TaxYear))))</f>
        <v/>
      </c>
      <c r="J32" s="112" t="n"/>
    </row>
  </sheetData>
  <mergeCells count="24">
    <mergeCell ref="G20:J20"/>
    <mergeCell ref="B15:E15"/>
    <mergeCell ref="G16:J16"/>
    <mergeCell ref="B31:C31"/>
    <mergeCell ref="B20:E20"/>
    <mergeCell ref="B13:J13"/>
    <mergeCell ref="G22:J22"/>
    <mergeCell ref="B16:E16"/>
    <mergeCell ref="G21:J21"/>
    <mergeCell ref="B22:E22"/>
    <mergeCell ref="B24:J24"/>
    <mergeCell ref="B30:J30"/>
    <mergeCell ref="B18:E18"/>
    <mergeCell ref="G17:J17"/>
    <mergeCell ref="B21:E21"/>
    <mergeCell ref="G19:J19"/>
    <mergeCell ref="B17:E17"/>
    <mergeCell ref="G18:J18"/>
    <mergeCell ref="G32:H32"/>
    <mergeCell ref="G31:H31"/>
    <mergeCell ref="B32:C32"/>
    <mergeCell ref="G15:J15"/>
    <mergeCell ref="B19:E19"/>
    <mergeCell ref="B12:J12"/>
  </mergeCells>
  <conditionalFormatting sqref="B17">
    <cfRule type="expression" priority="1" dxfId="0">
      <formula>ISNUMBER(SEARCH("safe",B17))</formula>
    </cfRule>
    <cfRule type="expression" priority="2" dxfId="1">
      <formula>ISNUMBER(SEARCH("Not yet",B17))</formula>
    </cfRule>
  </conditionalFormatting>
  <conditionalFormatting sqref="E23">
    <cfRule type="expression" priority="3" dxfId="2">
      <formula>AND(E23&gt;=D23,D23&gt;0)</formula>
    </cfRule>
    <cfRule type="expression" priority="4" dxfId="3">
      <formula>AND(E23&gt;0,E23&lt;D23)</formula>
    </cfRule>
  </conditionalFormatting>
  <conditionalFormatting sqref="H23">
    <cfRule type="expression" priority="5" dxfId="4">
      <formula>H23&gt;=1</formula>
    </cfRule>
    <cfRule type="expression" priority="6" dxfId="5">
      <formula>AND(H23&gt;0,H23&lt;1)</formula>
    </cfRule>
  </conditionalFormatting>
  <conditionalFormatting sqref="E24">
    <cfRule type="expression" priority="7" dxfId="2">
      <formula>AND(E24&gt;=D24,D24&gt;0)</formula>
    </cfRule>
    <cfRule type="expression" priority="8" dxfId="3">
      <formula>AND(E24&gt;0,E24&lt;D24)</formula>
    </cfRule>
  </conditionalFormatting>
  <conditionalFormatting sqref="H24">
    <cfRule type="expression" priority="9" dxfId="4">
      <formula>H24&gt;=1</formula>
    </cfRule>
    <cfRule type="expression" priority="10" dxfId="5">
      <formula>AND(H24&gt;0,H24&lt;1)</formula>
    </cfRule>
  </conditionalFormatting>
  <conditionalFormatting sqref="E25">
    <cfRule type="expression" priority="11" dxfId="2">
      <formula>AND(E25&gt;=D25,D25&gt;0)</formula>
    </cfRule>
    <cfRule type="expression" priority="12" dxfId="3">
      <formula>AND(E25&gt;0,E25&lt;D25)</formula>
    </cfRule>
  </conditionalFormatting>
  <conditionalFormatting sqref="H25">
    <cfRule type="expression" priority="13" dxfId="4">
      <formula>H25&gt;=1</formula>
    </cfRule>
    <cfRule type="expression" priority="14" dxfId="5">
      <formula>AND(H25&gt;0,H25&lt;1)</formula>
    </cfRule>
  </conditionalFormatting>
  <conditionalFormatting sqref="E26">
    <cfRule type="expression" priority="15" dxfId="2">
      <formula>AND(E26&gt;=D26,D26&gt;0)</formula>
    </cfRule>
    <cfRule type="expression" priority="16" dxfId="3">
      <formula>AND(E26&gt;0,E26&lt;D26)</formula>
    </cfRule>
  </conditionalFormatting>
  <conditionalFormatting sqref="H26">
    <cfRule type="expression" priority="17" dxfId="4">
      <formula>H26&gt;=1</formula>
    </cfRule>
    <cfRule type="expression" priority="18" dxfId="5">
      <formula>AND(H26&gt;0,H26&lt;1)</formula>
    </cfRule>
  </conditionalFormatting>
  <conditionalFormatting sqref="D25:D28">
    <cfRule type="dataBar" priority="19">
      <dataBar showValue="1">
        <cfvo type="num" val="0"/>
        <cfvo type="num"/>
        <color rgb="FFE89464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89464"/>
    <outlinePr summaryBelow="1" summaryRight="1"/>
    <pageSetUpPr/>
  </sheetPr>
  <dimension ref="B2:D36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8" customWidth="1" min="3" max="3"/>
    <col width="50" customWidth="1" min="4" max="4"/>
  </cols>
  <sheetData>
    <row r="2" ht="32" customHeight="1">
      <c r="B2" s="93" t="inlineStr">
        <is>
          <t>Setup</t>
        </is>
      </c>
    </row>
    <row r="3">
      <c r="B3" s="72" t="inlineStr">
        <is>
          <t>Edit the gold cells. Everything else reads from here.</t>
        </is>
      </c>
    </row>
    <row r="5" ht="24" customHeight="1">
      <c r="B5" s="65" t="inlineStr">
        <is>
          <t>Year &amp; filing status</t>
        </is>
      </c>
    </row>
    <row r="6" ht="24" customHeight="1">
      <c r="B6" s="43" t="inlineStr">
        <is>
          <t>Tax year</t>
        </is>
      </c>
      <c r="C6" s="94" t="n">
        <v>2026</v>
      </c>
      <c r="D6" s="72" t="inlineStr">
        <is>
          <t>The year you're paying taxes for</t>
        </is>
      </c>
    </row>
    <row r="7" ht="24" customHeight="1">
      <c r="B7" s="43" t="inlineStr">
        <is>
          <t>Filing status</t>
        </is>
      </c>
      <c r="C7" s="94" t="inlineStr">
        <is>
          <t>Single</t>
        </is>
      </c>
      <c r="D7" s="72" t="inlineStr">
        <is>
          <t>Single, MFJ, MFS, HOH</t>
        </is>
      </c>
    </row>
    <row r="8" ht="24" customHeight="1">
      <c r="B8" s="43" t="inlineStr">
        <is>
          <t>State</t>
        </is>
      </c>
      <c r="C8" s="94" t="inlineStr">
        <is>
          <t>CA</t>
        </is>
      </c>
      <c r="D8" s="72" t="inlineStr">
        <is>
          <t>Two-letter code (e.g., CA, TX, FL, NY)</t>
        </is>
      </c>
    </row>
    <row r="9" ht="24" customHeight="1">
      <c r="B9" s="43" t="inlineStr">
        <is>
          <t>State flat estimated tax rate</t>
        </is>
      </c>
      <c r="C9" s="95" t="n">
        <v>0.06</v>
      </c>
      <c r="D9" s="72" t="inlineStr">
        <is>
          <t>Override the lookup below if you know your effective rate. Edit at any time.</t>
        </is>
      </c>
    </row>
    <row r="11" ht="24" customHeight="1">
      <c r="B11" s="65" t="inlineStr">
        <is>
          <t>This year's income (overrides if filled)</t>
        </is>
      </c>
    </row>
    <row r="12" ht="24" customHeight="1">
      <c r="B12" s="43" t="inlineStr">
        <is>
          <t>Estimated net self-employment income (annual)</t>
        </is>
      </c>
      <c r="C12" s="89" t="n">
        <v>0</v>
      </c>
      <c r="D12" s="72" t="inlineStr">
        <is>
          <t>Leave 0 to use the month-by-month forecast on the Income Forecast tab</t>
        </is>
      </c>
    </row>
    <row r="13" ht="24" customHeight="1">
      <c r="B13" s="43" t="inlineStr">
        <is>
          <t>W-2 income (if you also have a day job)</t>
        </is>
      </c>
      <c r="C13" s="89" t="n">
        <v>0</v>
      </c>
      <c r="D13" s="72" t="inlineStr">
        <is>
          <t>Gross wages, before tax</t>
        </is>
      </c>
    </row>
    <row r="14" ht="24" customHeight="1">
      <c r="B14" s="43" t="inlineStr">
        <is>
          <t>Federal tax withheld from W-2 (this year)</t>
        </is>
      </c>
      <c r="C14" s="89" t="n">
        <v>0</v>
      </c>
      <c r="D14" s="72" t="inlineStr">
        <is>
          <t>From your most recent paystub × pay periods left, or your W-2 box 2</t>
        </is>
      </c>
    </row>
    <row r="16" ht="24" customHeight="1">
      <c r="B16" s="65" t="inlineStr">
        <is>
          <t>Last year — for safe harbor calculation</t>
        </is>
      </c>
    </row>
    <row r="17" ht="24" customHeight="1">
      <c r="B17" s="43" t="inlineStr">
        <is>
          <t>Total federal tax owed last year (Form 1040 line 24)</t>
        </is>
      </c>
      <c r="C17" s="89" t="n">
        <v>0</v>
      </c>
      <c r="D17" s="72" t="inlineStr">
        <is>
          <t>Look at last year's return. This sets the 100%/110% safe harbor.</t>
        </is>
      </c>
    </row>
    <row r="18" ht="24" customHeight="1">
      <c r="B18" s="43" t="inlineStr">
        <is>
          <t>Last year's AGI (Form 1040 line 11)</t>
        </is>
      </c>
      <c r="C18" s="89" t="n">
        <v>0</v>
      </c>
      <c r="D18" s="72" t="inlineStr">
        <is>
          <t>If above $150K, safe harbor is 110% of last year's tax instead of 100%</t>
        </is>
      </c>
    </row>
    <row r="20" ht="24" customHeight="1">
      <c r="B20" s="65" t="inlineStr">
        <is>
          <t>Federal tax constants (edit each year)</t>
        </is>
      </c>
    </row>
    <row r="21" ht="24" customHeight="1">
      <c r="B21" s="43" t="inlineStr">
        <is>
          <t>Standard deduction (single / MFS)</t>
        </is>
      </c>
      <c r="C21" s="89" t="n">
        <v>15750</v>
      </c>
      <c r="D21" s="72" t="inlineStr">
        <is>
          <t>2025 value as published by IRS. Update for your tax year.</t>
        </is>
      </c>
    </row>
    <row r="22" ht="24" customHeight="1">
      <c r="B22" s="43" t="inlineStr">
        <is>
          <t>Standard deduction (MFJ)</t>
        </is>
      </c>
      <c r="C22" s="89" t="n">
        <v>31500</v>
      </c>
      <c r="D22" s="72" t="inlineStr">
        <is>
          <t>2025 value</t>
        </is>
      </c>
    </row>
    <row r="23" ht="24" customHeight="1">
      <c r="B23" s="43" t="inlineStr">
        <is>
          <t>Standard deduction (HOH)</t>
        </is>
      </c>
      <c r="C23" s="89" t="n">
        <v>23625</v>
      </c>
      <c r="D23" s="72" t="inlineStr">
        <is>
          <t>2025 value</t>
        </is>
      </c>
    </row>
    <row r="24" ht="24" customHeight="1">
      <c r="B24" s="43" t="inlineStr">
        <is>
          <t>Social Security wage base</t>
        </is>
      </c>
      <c r="C24" s="89" t="n">
        <v>176100</v>
      </c>
      <c r="D24" s="72" t="inlineStr">
        <is>
          <t>2025 value. SE tax SS portion (12.4%) only applies up to this.</t>
        </is>
      </c>
    </row>
    <row r="26" ht="24" customHeight="1">
      <c r="B26" s="65" t="inlineStr">
        <is>
          <t>Federal income tax brackets (2025 — edit each year)</t>
        </is>
      </c>
    </row>
    <row r="27" ht="22" customHeight="1">
      <c r="B27" s="68" t="inlineStr">
        <is>
          <t>Bracket top (Single)</t>
        </is>
      </c>
      <c r="C27" s="68" t="inlineStr">
        <is>
          <t>Bracket top (MFJ)</t>
        </is>
      </c>
      <c r="D27" s="68" t="inlineStr">
        <is>
          <t>Marginal rate</t>
        </is>
      </c>
    </row>
    <row r="28" ht="20" customHeight="1">
      <c r="B28" s="96" t="n">
        <v>11925</v>
      </c>
      <c r="C28" s="96" t="n">
        <v>23850</v>
      </c>
      <c r="D28" s="97" t="n">
        <v>0.1</v>
      </c>
    </row>
    <row r="29" ht="20" customHeight="1">
      <c r="B29" s="96" t="n">
        <v>48475</v>
      </c>
      <c r="C29" s="96" t="n">
        <v>96950</v>
      </c>
      <c r="D29" s="97" t="n">
        <v>0.12</v>
      </c>
    </row>
    <row r="30" ht="20" customHeight="1">
      <c r="B30" s="96" t="n">
        <v>103350</v>
      </c>
      <c r="C30" s="96" t="n">
        <v>206700</v>
      </c>
      <c r="D30" s="97" t="n">
        <v>0.22</v>
      </c>
    </row>
    <row r="31" ht="20" customHeight="1">
      <c r="B31" s="96" t="n">
        <v>197300</v>
      </c>
      <c r="C31" s="96" t="n">
        <v>394600</v>
      </c>
      <c r="D31" s="97" t="n">
        <v>0.24</v>
      </c>
    </row>
    <row r="32" ht="20" customHeight="1">
      <c r="B32" s="96" t="n">
        <v>250525</v>
      </c>
      <c r="C32" s="96" t="n">
        <v>501050</v>
      </c>
      <c r="D32" s="97" t="n">
        <v>0.32</v>
      </c>
    </row>
    <row r="33" ht="20" customHeight="1">
      <c r="B33" s="96" t="n">
        <v>626350</v>
      </c>
      <c r="C33" s="96" t="n">
        <v>751600</v>
      </c>
      <c r="D33" s="97" t="n">
        <v>0.35</v>
      </c>
    </row>
    <row r="34" ht="20" customHeight="1">
      <c r="B34" s="96" t="n">
        <v>999999999</v>
      </c>
      <c r="C34" s="96" t="n">
        <v>999999999</v>
      </c>
      <c r="D34" s="97" t="n">
        <v>0.37</v>
      </c>
    </row>
    <row r="36" ht="36" customHeight="1">
      <c r="B36" s="92" t="inlineStr">
        <is>
          <t>HoH and MFS brackets aren't modeled separately — if you use those statuses, set filing status above to the closest match (HOH → MFJ for brackets, MFS → Single) and adjust the standard deduction. For complex returns, consult a CPA.</t>
        </is>
      </c>
    </row>
  </sheetData>
  <mergeCells count="8">
    <mergeCell ref="B11:D11"/>
    <mergeCell ref="B3:D3"/>
    <mergeCell ref="B5:D5"/>
    <mergeCell ref="B36:D36"/>
    <mergeCell ref="B26:D26"/>
    <mergeCell ref="B2:D2"/>
    <mergeCell ref="B16:D16"/>
    <mergeCell ref="B20:D20"/>
  </mergeCells>
  <dataValidations count="1">
    <dataValidation sqref="C7" showDropDown="0" showInputMessage="0" showErrorMessage="0" allowBlank="0" type="list">
      <formula1>"Single,MFJ,MFS,HOH"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89464"/>
    <outlinePr summaryBelow="1" summaryRight="1"/>
    <pageSetUpPr/>
  </sheetPr>
  <dimension ref="B2:J25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2" ht="32" customHeight="1">
      <c r="B2" s="93" t="inlineStr">
        <is>
          <t>Income Forecast</t>
        </is>
      </c>
    </row>
    <row r="3">
      <c r="B3" s="72" t="inlineStr">
        <is>
          <t>Net self-employment income per month (gross minus deductions like mileage). Add platforms in row 5 — up to 6 streams.</t>
        </is>
      </c>
    </row>
    <row r="4">
      <c r="B4" s="72" t="inlineStr">
        <is>
          <t>Hint: if you'd rather just enter one annual number, fill in "Estimated net SE income (annual)" on the Setup tab — that will override this forecast.</t>
        </is>
      </c>
    </row>
    <row r="5" ht="28" customHeight="1">
      <c r="B5" s="68" t="inlineStr">
        <is>
          <t>Month</t>
        </is>
      </c>
      <c r="C5" s="68" t="inlineStr">
        <is>
          <t>DoorDash</t>
        </is>
      </c>
      <c r="D5" s="68" t="inlineStr">
        <is>
          <t>Uber / Lyft</t>
        </is>
      </c>
      <c r="E5" s="68" t="inlineStr">
        <is>
          <t>Airbnb / STR</t>
        </is>
      </c>
      <c r="F5" s="68" t="inlineStr">
        <is>
          <t>Etsy / sales</t>
        </is>
      </c>
      <c r="G5" s="68" t="inlineStr">
        <is>
          <t>Freelance</t>
        </is>
      </c>
      <c r="H5" s="68" t="inlineStr">
        <is>
          <t>Other</t>
        </is>
      </c>
      <c r="I5" s="98" t="inlineStr">
        <is>
          <t>Total</t>
        </is>
      </c>
    </row>
    <row r="6" ht="22" customHeight="1">
      <c r="B6" s="9" t="inlineStr">
        <is>
          <t>January</t>
        </is>
      </c>
      <c r="C6" s="96" t="n">
        <v>0</v>
      </c>
      <c r="D6" s="96" t="n">
        <v>0</v>
      </c>
      <c r="E6" s="96" t="n">
        <v>0</v>
      </c>
      <c r="F6" s="96" t="n">
        <v>0</v>
      </c>
      <c r="G6" s="96" t="n">
        <v>0</v>
      </c>
      <c r="H6" s="96" t="n">
        <v>0</v>
      </c>
      <c r="I6" s="99">
        <f>SUM(C6:H6)</f>
        <v/>
      </c>
    </row>
    <row r="7" ht="22" customHeight="1">
      <c r="B7" s="9" t="inlineStr">
        <is>
          <t>February</t>
        </is>
      </c>
      <c r="C7" s="96" t="n">
        <v>0</v>
      </c>
      <c r="D7" s="96" t="n">
        <v>0</v>
      </c>
      <c r="E7" s="96" t="n">
        <v>0</v>
      </c>
      <c r="F7" s="96" t="n">
        <v>0</v>
      </c>
      <c r="G7" s="96" t="n">
        <v>0</v>
      </c>
      <c r="H7" s="96" t="n">
        <v>0</v>
      </c>
      <c r="I7" s="99">
        <f>SUM(C7:H7)</f>
        <v/>
      </c>
    </row>
    <row r="8" ht="22" customHeight="1">
      <c r="B8" s="9" t="inlineStr">
        <is>
          <t>March</t>
        </is>
      </c>
      <c r="C8" s="96" t="n">
        <v>0</v>
      </c>
      <c r="D8" s="96" t="n">
        <v>0</v>
      </c>
      <c r="E8" s="96" t="n">
        <v>0</v>
      </c>
      <c r="F8" s="96" t="n">
        <v>0</v>
      </c>
      <c r="G8" s="96" t="n">
        <v>0</v>
      </c>
      <c r="H8" s="96" t="n">
        <v>0</v>
      </c>
      <c r="I8" s="99">
        <f>SUM(C8:H8)</f>
        <v/>
      </c>
    </row>
    <row r="9" ht="22" customHeight="1">
      <c r="B9" s="9" t="inlineStr">
        <is>
          <t>April</t>
        </is>
      </c>
      <c r="C9" s="96" t="n">
        <v>0</v>
      </c>
      <c r="D9" s="96" t="n">
        <v>0</v>
      </c>
      <c r="E9" s="96" t="n">
        <v>0</v>
      </c>
      <c r="F9" s="96" t="n">
        <v>0</v>
      </c>
      <c r="G9" s="96" t="n">
        <v>0</v>
      </c>
      <c r="H9" s="96" t="n">
        <v>0</v>
      </c>
      <c r="I9" s="99">
        <f>SUM(C9:H9)</f>
        <v/>
      </c>
    </row>
    <row r="10" ht="22" customHeight="1">
      <c r="B10" s="9" t="inlineStr">
        <is>
          <t>May</t>
        </is>
      </c>
      <c r="C10" s="96" t="n">
        <v>0</v>
      </c>
      <c r="D10" s="96" t="n">
        <v>0</v>
      </c>
      <c r="E10" s="96" t="n">
        <v>0</v>
      </c>
      <c r="F10" s="96" t="n">
        <v>0</v>
      </c>
      <c r="G10" s="96" t="n">
        <v>0</v>
      </c>
      <c r="H10" s="96" t="n">
        <v>0</v>
      </c>
      <c r="I10" s="99">
        <f>SUM(C10:H10)</f>
        <v/>
      </c>
    </row>
    <row r="11" ht="22" customHeight="1">
      <c r="B11" s="9" t="inlineStr">
        <is>
          <t>June</t>
        </is>
      </c>
      <c r="C11" s="96" t="n">
        <v>0</v>
      </c>
      <c r="D11" s="96" t="n">
        <v>0</v>
      </c>
      <c r="E11" s="96" t="n">
        <v>0</v>
      </c>
      <c r="F11" s="96" t="n">
        <v>0</v>
      </c>
      <c r="G11" s="96" t="n">
        <v>0</v>
      </c>
      <c r="H11" s="96" t="n">
        <v>0</v>
      </c>
      <c r="I11" s="99">
        <f>SUM(C11:H11)</f>
        <v/>
      </c>
    </row>
    <row r="12" ht="22" customHeight="1">
      <c r="B12" s="9" t="inlineStr">
        <is>
          <t>July</t>
        </is>
      </c>
      <c r="C12" s="96" t="n">
        <v>0</v>
      </c>
      <c r="D12" s="96" t="n">
        <v>0</v>
      </c>
      <c r="E12" s="96" t="n">
        <v>0</v>
      </c>
      <c r="F12" s="96" t="n">
        <v>0</v>
      </c>
      <c r="G12" s="96" t="n">
        <v>0</v>
      </c>
      <c r="H12" s="96" t="n">
        <v>0</v>
      </c>
      <c r="I12" s="99">
        <f>SUM(C12:H12)</f>
        <v/>
      </c>
    </row>
    <row r="13" ht="22" customHeight="1">
      <c r="B13" s="9" t="inlineStr">
        <is>
          <t>August</t>
        </is>
      </c>
      <c r="C13" s="96" t="n">
        <v>0</v>
      </c>
      <c r="D13" s="96" t="n">
        <v>0</v>
      </c>
      <c r="E13" s="96" t="n">
        <v>0</v>
      </c>
      <c r="F13" s="96" t="n">
        <v>0</v>
      </c>
      <c r="G13" s="96" t="n">
        <v>0</v>
      </c>
      <c r="H13" s="96" t="n">
        <v>0</v>
      </c>
      <c r="I13" s="99">
        <f>SUM(C13:H13)</f>
        <v/>
      </c>
    </row>
    <row r="14" ht="22" customHeight="1">
      <c r="B14" s="9" t="inlineStr">
        <is>
          <t>September</t>
        </is>
      </c>
      <c r="C14" s="96" t="n">
        <v>0</v>
      </c>
      <c r="D14" s="96" t="n">
        <v>0</v>
      </c>
      <c r="E14" s="96" t="n">
        <v>0</v>
      </c>
      <c r="F14" s="96" t="n">
        <v>0</v>
      </c>
      <c r="G14" s="96" t="n">
        <v>0</v>
      </c>
      <c r="H14" s="96" t="n">
        <v>0</v>
      </c>
      <c r="I14" s="99">
        <f>SUM(C14:H14)</f>
        <v/>
      </c>
    </row>
    <row r="15" ht="22" customHeight="1">
      <c r="B15" s="9" t="inlineStr">
        <is>
          <t>October</t>
        </is>
      </c>
      <c r="C15" s="96" t="n">
        <v>0</v>
      </c>
      <c r="D15" s="96" t="n">
        <v>0</v>
      </c>
      <c r="E15" s="96" t="n">
        <v>0</v>
      </c>
      <c r="F15" s="96" t="n">
        <v>0</v>
      </c>
      <c r="G15" s="96" t="n">
        <v>0</v>
      </c>
      <c r="H15" s="96" t="n">
        <v>0</v>
      </c>
      <c r="I15" s="99">
        <f>SUM(C15:H15)</f>
        <v/>
      </c>
    </row>
    <row r="16" ht="22" customHeight="1">
      <c r="B16" s="9" t="inlineStr">
        <is>
          <t>November</t>
        </is>
      </c>
      <c r="C16" s="96" t="n">
        <v>0</v>
      </c>
      <c r="D16" s="96" t="n">
        <v>0</v>
      </c>
      <c r="E16" s="96" t="n">
        <v>0</v>
      </c>
      <c r="F16" s="96" t="n">
        <v>0</v>
      </c>
      <c r="G16" s="96" t="n">
        <v>0</v>
      </c>
      <c r="H16" s="96" t="n">
        <v>0</v>
      </c>
      <c r="I16" s="99">
        <f>SUM(C16:H16)</f>
        <v/>
      </c>
    </row>
    <row r="17" ht="22" customHeight="1">
      <c r="B17" s="9" t="inlineStr">
        <is>
          <t>December</t>
        </is>
      </c>
      <c r="C17" s="96" t="n">
        <v>0</v>
      </c>
      <c r="D17" s="96" t="n">
        <v>0</v>
      </c>
      <c r="E17" s="96" t="n">
        <v>0</v>
      </c>
      <c r="F17" s="96" t="n">
        <v>0</v>
      </c>
      <c r="G17" s="96" t="n">
        <v>0</v>
      </c>
      <c r="H17" s="96" t="n">
        <v>0</v>
      </c>
      <c r="I17" s="99">
        <f>SUM(C17:H17)</f>
        <v/>
      </c>
    </row>
    <row r="18" ht="30" customHeight="1">
      <c r="B18" s="87" t="inlineStr">
        <is>
          <t>Annual total</t>
        </is>
      </c>
      <c r="C18" s="89">
        <f>SUM(C6:C17)</f>
        <v/>
      </c>
      <c r="D18" s="89">
        <f>SUM(D6:D17)</f>
        <v/>
      </c>
      <c r="E18" s="89">
        <f>SUM(E6:E17)</f>
        <v/>
      </c>
      <c r="F18" s="89">
        <f>SUM(F6:F17)</f>
        <v/>
      </c>
      <c r="G18" s="89">
        <f>SUM(G6:G17)</f>
        <v/>
      </c>
      <c r="H18" s="89">
        <f>SUM(H6:H17)</f>
        <v/>
      </c>
      <c r="I18" s="89">
        <f>SUM(I6:I17)</f>
        <v/>
      </c>
    </row>
    <row r="20" ht="24" customHeight="1">
      <c r="B20" s="65" t="inlineStr">
        <is>
          <t>By quarter</t>
        </is>
      </c>
    </row>
    <row r="21" ht="24" customHeight="1">
      <c r="B21" s="68" t="inlineStr">
        <is>
          <t>Quarter</t>
        </is>
      </c>
      <c r="C21" s="68" t="inlineStr">
        <is>
          <t>Months</t>
        </is>
      </c>
      <c r="D21" s="68" t="inlineStr">
        <is>
          <t>Net SE income</t>
        </is>
      </c>
    </row>
    <row r="22" ht="22" customHeight="1">
      <c r="B22" s="8" t="inlineStr">
        <is>
          <t>Q1</t>
        </is>
      </c>
      <c r="C22" s="9" t="inlineStr">
        <is>
          <t>Jan–Mar</t>
        </is>
      </c>
      <c r="D22" s="100">
        <f>SUM(I6:I8)</f>
        <v/>
      </c>
    </row>
    <row r="23" ht="22" customHeight="1">
      <c r="B23" s="8" t="inlineStr">
        <is>
          <t>Q2</t>
        </is>
      </c>
      <c r="C23" s="9" t="inlineStr">
        <is>
          <t>Apr–May</t>
        </is>
      </c>
      <c r="D23" s="100">
        <f>SUM(I9:I10)</f>
        <v/>
      </c>
    </row>
    <row r="24" ht="22" customHeight="1">
      <c r="B24" s="8" t="inlineStr">
        <is>
          <t>Q3</t>
        </is>
      </c>
      <c r="C24" s="9" t="inlineStr">
        <is>
          <t>Jun–Aug</t>
        </is>
      </c>
      <c r="D24" s="100">
        <f>SUM(I11:I13)</f>
        <v/>
      </c>
    </row>
    <row r="25" ht="22" customHeight="1">
      <c r="B25" s="8" t="inlineStr">
        <is>
          <t>Q4</t>
        </is>
      </c>
      <c r="C25" s="9" t="inlineStr">
        <is>
          <t>Sep–Dec</t>
        </is>
      </c>
      <c r="D25" s="100">
        <f>SUM(I14:I17)</f>
        <v/>
      </c>
    </row>
  </sheetData>
  <mergeCells count="4">
    <mergeCell ref="B4:J4"/>
    <mergeCell ref="B3:J3"/>
    <mergeCell ref="B20:I20"/>
    <mergeCell ref="B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89464"/>
    <outlinePr summaryBelow="1" summaryRight="1"/>
    <pageSetUpPr/>
  </sheetPr>
  <dimension ref="B2:D24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8" customWidth="1" min="3" max="3"/>
    <col width="60" customWidth="1" min="4" max="4"/>
  </cols>
  <sheetData>
    <row r="2" ht="32" customHeight="1">
      <c r="B2" s="93" t="inlineStr">
        <is>
          <t>Tax Calculator</t>
        </is>
      </c>
    </row>
    <row r="3">
      <c r="B3" s="72" t="inlineStr">
        <is>
          <t>All numbers below are calculated — don't edit. To change inputs, use the Setup tab.</t>
        </is>
      </c>
    </row>
    <row r="5" ht="24" customHeight="1">
      <c r="B5" s="65" t="inlineStr">
        <is>
          <t>Self-employment income &amp; SE tax</t>
        </is>
      </c>
    </row>
    <row r="6" ht="22" customHeight="1">
      <c r="B6" s="43" t="inlineStr">
        <is>
          <t>Net SE income (this year)</t>
        </is>
      </c>
      <c r="C6" s="99">
        <f>IF(SEOverride&gt;0,SEOverride,AnnualSEForecast)</f>
        <v/>
      </c>
      <c r="D6" s="72" t="inlineStr">
        <is>
          <t>From Setup override if filled; otherwise the Income Forecast annual total</t>
        </is>
      </c>
    </row>
    <row r="7" ht="22" customHeight="1">
      <c r="B7" s="43" t="inlineStr">
        <is>
          <t>× 92.35% (SE tax base)</t>
        </is>
      </c>
      <c r="C7" s="99">
        <f>'Tax Calculator'!$C$6*0.9235</f>
        <v/>
      </c>
      <c r="D7" s="72" t="inlineStr">
        <is>
          <t>The IRS taxes 92.35% of SE income for Social Security &amp; Medicare</t>
        </is>
      </c>
    </row>
    <row r="8" ht="22" customHeight="1">
      <c r="B8" s="43" t="inlineStr">
        <is>
          <t>Social Security portion of SE tax (12.4% up to wage base)</t>
        </is>
      </c>
      <c r="C8" s="99">
        <f>MIN('Tax Calculator'!$C$7,SSWageBase)*0.124</f>
        <v/>
      </c>
      <c r="D8" s="72" t="inlineStr">
        <is>
          <t>Stops at the SS wage base (set on Setup tab)</t>
        </is>
      </c>
    </row>
    <row r="9" ht="22" customHeight="1">
      <c r="B9" s="43" t="inlineStr">
        <is>
          <t>Medicare portion of SE tax (2.9%)</t>
        </is>
      </c>
      <c r="C9" s="99">
        <f>'Tax Calculator'!$C$7*0.029</f>
        <v/>
      </c>
      <c r="D9" s="72" t="inlineStr">
        <is>
          <t>No income cap on Medicare</t>
        </is>
      </c>
    </row>
    <row r="10" ht="26" customHeight="1">
      <c r="B10" s="101" t="inlineStr">
        <is>
          <t>Total SE tax</t>
        </is>
      </c>
      <c r="C10" s="102">
        <f>'Tax Calculator'!$C$8+'Tax Calculator'!$C$9</f>
        <v/>
      </c>
      <c r="D10" s="72" t="inlineStr">
        <is>
          <t>Sum of Social Security + Medicare</t>
        </is>
      </c>
    </row>
    <row r="11" ht="22" customHeight="1">
      <c r="B11" s="43" t="inlineStr">
        <is>
          <t>Deductible half of SE tax</t>
        </is>
      </c>
      <c r="C11" s="99">
        <f>'Tax Calculator'!$C$10/2</f>
        <v/>
      </c>
      <c r="D11" s="72" t="inlineStr">
        <is>
          <t>Half of SE tax reduces your AGI (it's an above-the-line deduction)</t>
        </is>
      </c>
    </row>
    <row r="13" ht="24" customHeight="1">
      <c r="B13" s="65" t="inlineStr">
        <is>
          <t>Federal income tax</t>
        </is>
      </c>
    </row>
    <row r="14" ht="22" customHeight="1">
      <c r="B14" s="43" t="inlineStr">
        <is>
          <t>AGI (W-2 + net SE − half SE tax)</t>
        </is>
      </c>
      <c r="C14" s="99">
        <f>W2Income+'Tax Calculator'!$C$6-'Tax Calculator'!$C$11</f>
        <v/>
      </c>
      <c r="D14" s="72" t="inlineStr">
        <is>
          <t>Adjusted Gross Income — the number tax brackets apply to (after standard deduction)</t>
        </is>
      </c>
    </row>
    <row r="15" ht="22" customHeight="1">
      <c r="B15" s="43" t="inlineStr">
        <is>
          <t>Standard deduction (based on filing status)</t>
        </is>
      </c>
      <c r="C15" s="99">
        <f>IF(FilingStatus="MFJ",StdDedMFJ,IF(FilingStatus="HOH",StdDedHOH,StdDedSingle))</f>
        <v/>
      </c>
      <c r="D15" s="72" t="inlineStr">
        <is>
          <t>Auto-picks the right standard deduction; MFS uses Single</t>
        </is>
      </c>
    </row>
    <row r="16" ht="22" customHeight="1">
      <c r="B16" s="43" t="inlineStr">
        <is>
          <t>Taxable income</t>
        </is>
      </c>
      <c r="C16" s="99">
        <f>MAX('Tax Calculator'!$C$14-'Tax Calculator'!$C$15,0)</f>
        <v/>
      </c>
      <c r="D16" s="72" t="inlineStr">
        <is>
          <t>AGI minus standard deduction (we don't model QBI or itemized — see CPA if relevant)</t>
        </is>
      </c>
    </row>
    <row r="17" ht="26" customHeight="1">
      <c r="B17" s="101" t="inlineStr">
        <is>
          <t>Federal income tax (bracket calc)</t>
        </is>
      </c>
      <c r="C17" s="102">
        <f>IF(FilingStatus="MFJ",SUMPRODUCT(((MIN('Tax Calculator'!$C$16,BracketsMFJ)-IFERROR(OFFSET(BracketsMFJ,-1,0),0))&gt;0)*(MIN('Tax Calculator'!$C$16,BracketsMFJ)-IFERROR(OFFSET(BracketsMFJ,-1,0),0))*BracketsRate),SUMPRODUCT(((MIN('Tax Calculator'!$C$16,BracketsSingle)-IFERROR(OFFSET(BracketsSingle,-1,0),0))&gt;0)*(MIN('Tax Calculator'!$C$16,BracketsSingle)-IFERROR(OFFSET(BracketsSingle,-1,0),0))*BracketsRate))</f>
        <v/>
      </c>
      <c r="D17" s="72" t="inlineStr">
        <is>
          <t>Applied bracket-by-bracket to your taxable income</t>
        </is>
      </c>
    </row>
    <row r="19" ht="24" customHeight="1">
      <c r="B19" s="65" t="inlineStr">
        <is>
          <t>State tax &amp; totals</t>
        </is>
      </c>
    </row>
    <row r="20" ht="26" customHeight="1">
      <c r="B20" s="101" t="inlineStr">
        <is>
          <t>State income tax (flat rate × taxable income)</t>
        </is>
      </c>
      <c r="C20" s="102">
        <f>'Tax Calculator'!$C$16*StateRate</f>
        <v/>
      </c>
      <c r="D20" s="72" t="inlineStr">
        <is>
          <t>Rough estimate — actual state tax varies by bracket. Override the rate on Setup if you have a better number.</t>
        </is>
      </c>
    </row>
    <row r="21" ht="22" customHeight="1">
      <c r="B21" s="43" t="inlineStr">
        <is>
          <t>Total federal owed (SE + income)</t>
        </is>
      </c>
      <c r="C21" s="99">
        <f>'Tax Calculator'!$C$10+'Tax Calculator'!$C$17</f>
        <v/>
      </c>
      <c r="D21" s="72" t="inlineStr">
        <is>
          <t>What you owe the IRS this year, before W-2 withholding</t>
        </is>
      </c>
    </row>
    <row r="22" ht="22" customHeight="1">
      <c r="B22" s="43" t="inlineStr">
        <is>
          <t>Less: W-2 federal withholding</t>
        </is>
      </c>
      <c r="C22" s="99">
        <f>-W2Withheld</f>
        <v/>
      </c>
      <c r="D22" s="72" t="inlineStr">
        <is>
          <t>Subtracts what your employer already sent in for you</t>
        </is>
      </c>
    </row>
    <row r="23" ht="26" customHeight="1">
      <c r="B23" s="101">
        <f> Net federal owed (quarterly target)</f>
        <v/>
      </c>
      <c r="C23" s="102">
        <f>'Tax Calculator'!$C$21-W2Withheld</f>
        <v/>
      </c>
      <c r="D23" s="72" t="inlineStr">
        <is>
          <t>Divide this by 4 to get your quarterly federal payment</t>
        </is>
      </c>
    </row>
    <row r="24" ht="26" customHeight="1">
      <c r="B24" s="101" t="inlineStr">
        <is>
          <t>Total state owed (quarterly target)</t>
        </is>
      </c>
      <c r="C24" s="102">
        <f>'Tax Calculator'!$C$20</f>
        <v/>
      </c>
      <c r="D24" s="72" t="inlineStr">
        <is>
          <t>Divide this by 4 to get your quarterly state payment</t>
        </is>
      </c>
    </row>
  </sheetData>
  <mergeCells count="5">
    <mergeCell ref="B3:D3"/>
    <mergeCell ref="B19:D19"/>
    <mergeCell ref="B5:D5"/>
    <mergeCell ref="B13:D13"/>
    <mergeCell ref="B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89464"/>
    <outlinePr summaryBelow="1" summaryRight="1"/>
    <pageSetUpPr/>
  </sheetPr>
  <dimension ref="B2:H20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0" customWidth="1" min="8" max="8"/>
  </cols>
  <sheetData>
    <row r="2" ht="32" customHeight="1">
      <c r="B2" s="93" t="inlineStr">
        <is>
          <t>Quarterly Payments</t>
        </is>
      </c>
    </row>
    <row r="3">
      <c r="B3" s="72" t="inlineStr">
        <is>
          <t>Log each payment after you make it. Status colors track whether you're on pace to hit your annual target.</t>
        </is>
      </c>
    </row>
    <row r="5" ht="24" customHeight="1">
      <c r="B5" s="65" t="inlineStr">
        <is>
          <t>Federal (IRS)</t>
        </is>
      </c>
    </row>
    <row r="6" ht="24" customHeight="1">
      <c r="B6" s="81" t="inlineStr">
        <is>
          <t>Q</t>
        </is>
      </c>
      <c r="C6" s="81" t="inlineStr">
        <is>
          <t>Due date</t>
        </is>
      </c>
      <c r="D6" s="81" t="inlineStr">
        <is>
          <t>Target $</t>
        </is>
      </c>
      <c r="E6" s="81" t="inlineStr">
        <is>
          <t>Paid date</t>
        </is>
      </c>
      <c r="F6" s="81" t="inlineStr">
        <is>
          <t>Paid $</t>
        </is>
      </c>
      <c r="G6" s="81" t="inlineStr">
        <is>
          <t>Method</t>
        </is>
      </c>
      <c r="H6" s="81" t="inlineStr">
        <is>
          <t>Status</t>
        </is>
      </c>
    </row>
    <row r="7" ht="24" customHeight="1">
      <c r="B7" s="8" t="inlineStr">
        <is>
          <t>Q1</t>
        </is>
      </c>
      <c r="C7" s="9" t="inlineStr">
        <is>
          <t>April 15</t>
        </is>
      </c>
      <c r="D7" s="99">
        <f>NetFedOwed/4</f>
        <v/>
      </c>
      <c r="E7" s="103" t="n"/>
      <c r="F7" s="96" t="n"/>
      <c r="G7" s="104" t="n"/>
      <c r="H7" s="69">
        <f>IF(F7="","Not paid yet",IF(F7&gt;=D7*0.95,"On track","Underpaid by $"&amp;TEXT(D7-F7,"#,##0")))</f>
        <v/>
      </c>
    </row>
    <row r="8" ht="24" customHeight="1">
      <c r="B8" s="8" t="inlineStr">
        <is>
          <t>Q2</t>
        </is>
      </c>
      <c r="C8" s="9" t="inlineStr">
        <is>
          <t>June 15</t>
        </is>
      </c>
      <c r="D8" s="99">
        <f>NetFedOwed/4</f>
        <v/>
      </c>
      <c r="E8" s="103" t="n"/>
      <c r="F8" s="96" t="n"/>
      <c r="G8" s="104" t="n"/>
      <c r="H8" s="69">
        <f>IF(F8="","Not paid yet",IF(F8&gt;=D8*0.95,"On track","Underpaid by $"&amp;TEXT(D8-F8,"#,##0")))</f>
        <v/>
      </c>
    </row>
    <row r="9" ht="24" customHeight="1">
      <c r="B9" s="8" t="inlineStr">
        <is>
          <t>Q3</t>
        </is>
      </c>
      <c r="C9" s="9" t="inlineStr">
        <is>
          <t>September 15</t>
        </is>
      </c>
      <c r="D9" s="99">
        <f>NetFedOwed/4</f>
        <v/>
      </c>
      <c r="E9" s="103" t="n"/>
      <c r="F9" s="96" t="n"/>
      <c r="G9" s="104" t="n"/>
      <c r="H9" s="69">
        <f>IF(F9="","Not paid yet",IF(F9&gt;=D9*0.95,"On track","Underpaid by $"&amp;TEXT(D9-F9,"#,##0")))</f>
        <v/>
      </c>
    </row>
    <row r="10" ht="24" customHeight="1">
      <c r="B10" s="8" t="inlineStr">
        <is>
          <t>Q4</t>
        </is>
      </c>
      <c r="C10" s="9" t="inlineStr">
        <is>
          <t>January 15</t>
        </is>
      </c>
      <c r="D10" s="99">
        <f>NetFedOwed/4</f>
        <v/>
      </c>
      <c r="E10" s="103" t="n"/>
      <c r="F10" s="96" t="n"/>
      <c r="G10" s="104" t="n"/>
      <c r="H10" s="69">
        <f>IF(F10="","Not paid yet",IF(F10&gt;=D10*0.95,"On track","Underpaid by $"&amp;TEXT(D10-F10,"#,##0")))</f>
        <v/>
      </c>
    </row>
    <row r="11" ht="28" customHeight="1">
      <c r="B11" s="87" t="inlineStr">
        <is>
          <t>Total</t>
        </is>
      </c>
      <c r="C11" s="88" t="n"/>
      <c r="D11" s="89">
        <f>SUM(D7:D10)</f>
        <v/>
      </c>
      <c r="F11" s="89">
        <f>SUM(F7:F10)</f>
        <v/>
      </c>
      <c r="H11" s="87">
        <f>IF(F11&gt;=D11*0.95,"Annual target met","Short $"&amp;TEXT(D11-F11,"#,##0"))</f>
        <v/>
      </c>
    </row>
    <row r="14" ht="24" customHeight="1">
      <c r="B14" s="65" t="inlineStr">
        <is>
          <t>State</t>
        </is>
      </c>
    </row>
    <row r="15" ht="24" customHeight="1">
      <c r="B15" s="81" t="inlineStr">
        <is>
          <t>Q</t>
        </is>
      </c>
      <c r="C15" s="81" t="inlineStr">
        <is>
          <t>Due date</t>
        </is>
      </c>
      <c r="D15" s="81" t="inlineStr">
        <is>
          <t>Target $</t>
        </is>
      </c>
      <c r="E15" s="81" t="inlineStr">
        <is>
          <t>Paid date</t>
        </is>
      </c>
      <c r="F15" s="81" t="inlineStr">
        <is>
          <t>Paid $</t>
        </is>
      </c>
      <c r="G15" s="81" t="inlineStr">
        <is>
          <t>Method</t>
        </is>
      </c>
      <c r="H15" s="81" t="inlineStr">
        <is>
          <t>Status</t>
        </is>
      </c>
    </row>
    <row r="16" ht="24" customHeight="1">
      <c r="B16" s="8" t="inlineStr">
        <is>
          <t>Q1</t>
        </is>
      </c>
      <c r="C16" s="9" t="inlineStr">
        <is>
          <t>April 15</t>
        </is>
      </c>
      <c r="D16" s="99">
        <f>NetStateOwed/4</f>
        <v/>
      </c>
      <c r="E16" s="103" t="n"/>
      <c r="F16" s="96" t="n"/>
      <c r="G16" s="104" t="n"/>
      <c r="H16" s="69">
        <f>IF(F16="","Not paid yet",IF(F16&gt;=D16*0.95,"On track","Underpaid by $"&amp;TEXT(D16-F16,"#,##0")))</f>
        <v/>
      </c>
    </row>
    <row r="17" ht="24" customHeight="1">
      <c r="B17" s="8" t="inlineStr">
        <is>
          <t>Q2</t>
        </is>
      </c>
      <c r="C17" s="9" t="inlineStr">
        <is>
          <t>June 15</t>
        </is>
      </c>
      <c r="D17" s="99">
        <f>NetStateOwed/4</f>
        <v/>
      </c>
      <c r="E17" s="103" t="n"/>
      <c r="F17" s="96" t="n"/>
      <c r="G17" s="104" t="n"/>
      <c r="H17" s="69">
        <f>IF(F17="","Not paid yet",IF(F17&gt;=D17*0.95,"On track","Underpaid by $"&amp;TEXT(D17-F17,"#,##0")))</f>
        <v/>
      </c>
    </row>
    <row r="18" ht="24" customHeight="1">
      <c r="B18" s="8" t="inlineStr">
        <is>
          <t>Q3</t>
        </is>
      </c>
      <c r="C18" s="9" t="inlineStr">
        <is>
          <t>September 15</t>
        </is>
      </c>
      <c r="D18" s="99">
        <f>NetStateOwed/4</f>
        <v/>
      </c>
      <c r="E18" s="103" t="n"/>
      <c r="F18" s="96" t="n"/>
      <c r="G18" s="104" t="n"/>
      <c r="H18" s="69">
        <f>IF(F18="","Not paid yet",IF(F18&gt;=D18*0.95,"On track","Underpaid by $"&amp;TEXT(D18-F18,"#,##0")))</f>
        <v/>
      </c>
    </row>
    <row r="19" ht="24" customHeight="1">
      <c r="B19" s="8" t="inlineStr">
        <is>
          <t>Q4</t>
        </is>
      </c>
      <c r="C19" s="9" t="inlineStr">
        <is>
          <t>January 15</t>
        </is>
      </c>
      <c r="D19" s="99">
        <f>NetStateOwed/4</f>
        <v/>
      </c>
      <c r="E19" s="103" t="n"/>
      <c r="F19" s="96" t="n"/>
      <c r="G19" s="104" t="n"/>
      <c r="H19" s="69">
        <f>IF(F19="","Not paid yet",IF(F19&gt;=D19*0.95,"On track","Underpaid by $"&amp;TEXT(D19-F19,"#,##0")))</f>
        <v/>
      </c>
    </row>
    <row r="20" ht="28" customHeight="1">
      <c r="B20" s="87" t="inlineStr">
        <is>
          <t>Total</t>
        </is>
      </c>
      <c r="C20" s="88" t="n"/>
      <c r="D20" s="89">
        <f>SUM(D16:D19)</f>
        <v/>
      </c>
      <c r="F20" s="89">
        <f>SUM(F16:F19)</f>
        <v/>
      </c>
    </row>
  </sheetData>
  <mergeCells count="6">
    <mergeCell ref="B14:H14"/>
    <mergeCell ref="B11:C11"/>
    <mergeCell ref="B20:C20"/>
    <mergeCell ref="B2:H2"/>
    <mergeCell ref="B3:H3"/>
    <mergeCell ref="B5:H5"/>
  </mergeCells>
  <conditionalFormatting sqref="H7">
    <cfRule type="expression" priority="1" dxfId="6">
      <formula>ISNUMBER(SEARCH("On track",H7))</formula>
    </cfRule>
    <cfRule type="expression" priority="2" dxfId="7">
      <formula>ISNUMBER(SEARCH("Not paid",H7))</formula>
    </cfRule>
    <cfRule type="expression" priority="3" dxfId="8">
      <formula>ISNUMBER(SEARCH("Underpaid",H7))</formula>
    </cfRule>
  </conditionalFormatting>
  <conditionalFormatting sqref="H8">
    <cfRule type="expression" priority="4" dxfId="6">
      <formula>ISNUMBER(SEARCH("On track",H8))</formula>
    </cfRule>
    <cfRule type="expression" priority="5" dxfId="7">
      <formula>ISNUMBER(SEARCH("Not paid",H8))</formula>
    </cfRule>
    <cfRule type="expression" priority="6" dxfId="8">
      <formula>ISNUMBER(SEARCH("Underpaid",H8))</formula>
    </cfRule>
  </conditionalFormatting>
  <conditionalFormatting sqref="H9">
    <cfRule type="expression" priority="7" dxfId="6">
      <formula>ISNUMBER(SEARCH("On track",H9))</formula>
    </cfRule>
    <cfRule type="expression" priority="8" dxfId="7">
      <formula>ISNUMBER(SEARCH("Not paid",H9))</formula>
    </cfRule>
    <cfRule type="expression" priority="9" dxfId="8">
      <formula>ISNUMBER(SEARCH("Underpaid",H9))</formula>
    </cfRule>
  </conditionalFormatting>
  <conditionalFormatting sqref="H10">
    <cfRule type="expression" priority="10" dxfId="6">
      <formula>ISNUMBER(SEARCH("On track",H10))</formula>
    </cfRule>
    <cfRule type="expression" priority="11" dxfId="7">
      <formula>ISNUMBER(SEARCH("Not paid",H10))</formula>
    </cfRule>
    <cfRule type="expression" priority="12" dxfId="8">
      <formula>ISNUMBER(SEARCH("Underpaid",H10))</formula>
    </cfRule>
  </conditionalFormatting>
  <conditionalFormatting sqref="H11">
    <cfRule type="expression" priority="13" dxfId="6">
      <formula>ISNUMBER(SEARCH("met",H11))</formula>
    </cfRule>
    <cfRule type="expression" priority="14" dxfId="8">
      <formula>ISNUMBER(SEARCH("Short",H11))</formula>
    </cfRule>
  </conditionalFormatting>
  <conditionalFormatting sqref="H16">
    <cfRule type="expression" priority="15" dxfId="6">
      <formula>ISNUMBER(SEARCH("On track",H16))</formula>
    </cfRule>
    <cfRule type="expression" priority="16" dxfId="7">
      <formula>ISNUMBER(SEARCH("Not paid",H16))</formula>
    </cfRule>
    <cfRule type="expression" priority="17" dxfId="8">
      <formula>ISNUMBER(SEARCH("Underpaid",H16))</formula>
    </cfRule>
  </conditionalFormatting>
  <conditionalFormatting sqref="H17">
    <cfRule type="expression" priority="18" dxfId="6">
      <formula>ISNUMBER(SEARCH("On track",H17))</formula>
    </cfRule>
    <cfRule type="expression" priority="19" dxfId="7">
      <formula>ISNUMBER(SEARCH("Not paid",H17))</formula>
    </cfRule>
    <cfRule type="expression" priority="20" dxfId="8">
      <formula>ISNUMBER(SEARCH("Underpaid",H17))</formula>
    </cfRule>
  </conditionalFormatting>
  <conditionalFormatting sqref="H18">
    <cfRule type="expression" priority="21" dxfId="6">
      <formula>ISNUMBER(SEARCH("On track",H18))</formula>
    </cfRule>
    <cfRule type="expression" priority="22" dxfId="7">
      <formula>ISNUMBER(SEARCH("Not paid",H18))</formula>
    </cfRule>
    <cfRule type="expression" priority="23" dxfId="8">
      <formula>ISNUMBER(SEARCH("Underpaid",H18))</formula>
    </cfRule>
  </conditionalFormatting>
  <conditionalFormatting sqref="H19">
    <cfRule type="expression" priority="24" dxfId="6">
      <formula>ISNUMBER(SEARCH("On track",H19))</formula>
    </cfRule>
    <cfRule type="expression" priority="25" dxfId="7">
      <formula>ISNUMBER(SEARCH("Not paid",H19))</formula>
    </cfRule>
    <cfRule type="expression" priority="26" dxfId="8">
      <formula>ISNUMBER(SEARCH("Underpaid",H19))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3068"/>
    <outlinePr summaryBelow="1" summaryRight="1"/>
    <pageSetUpPr/>
  </sheetPr>
  <dimension ref="B2:D20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50" customWidth="1" min="2" max="2"/>
    <col width="20" customWidth="1" min="3" max="3"/>
    <col width="45" customWidth="1" min="4" max="4"/>
  </cols>
  <sheetData>
    <row r="2" ht="32" customHeight="1">
      <c r="B2" s="93" t="inlineStr">
        <is>
          <t>Safe Harbor Check</t>
        </is>
      </c>
    </row>
    <row r="3">
      <c r="B3" s="72" t="inlineStr">
        <is>
          <t>The IRS won't charge you an underpayment penalty if you hit EITHER of these two safe-harbor tests. You only need ONE.</t>
        </is>
      </c>
    </row>
    <row r="5" ht="24" customHeight="1">
      <c r="B5" s="65" t="inlineStr">
        <is>
          <t>Safe Harbor 1 — based on last year's tax</t>
        </is>
      </c>
    </row>
    <row r="6" ht="22" customHeight="1">
      <c r="B6" s="43" t="inlineStr">
        <is>
          <t>Required multiplier (110% if last year AGI &gt; $150K, else 100%)</t>
        </is>
      </c>
      <c r="C6" s="105">
        <f>IF(LastYearAGI&gt;150000,1.1,1)</f>
        <v/>
      </c>
      <c r="D6" s="72" t="inlineStr">
        <is>
          <t>The 110% rule kicks in for higher earners</t>
        </is>
      </c>
    </row>
    <row r="7" ht="26" customHeight="1">
      <c r="B7" s="101" t="inlineStr">
        <is>
          <t>Safe harbor target (last year's tax × multiplier)</t>
        </is>
      </c>
      <c r="C7" s="89">
        <f>LastYearTax*C6</f>
        <v/>
      </c>
      <c r="D7" s="72" t="inlineStr">
        <is>
          <t>If you pay AT LEAST this much across all 4 quarters + W-2 withholding, you're safe</t>
        </is>
      </c>
    </row>
    <row r="8" ht="22" customHeight="1">
      <c r="B8" s="43" t="inlineStr">
        <is>
          <t>Paid so far (Q1–Q4 federal + W-2 withholding)</t>
        </is>
      </c>
      <c r="C8" s="99">
        <f>FedPaidYTD+W2Withheld</f>
        <v/>
      </c>
      <c r="D8" s="72" t="inlineStr">
        <is>
          <t>From Quarterly Payments tab + W-2 withholding on Setup</t>
        </is>
      </c>
    </row>
    <row r="9" ht="32" customHeight="1">
      <c r="B9" s="101" t="inlineStr">
        <is>
          <t>Safe Harbor 1 status:</t>
        </is>
      </c>
      <c r="C9" s="106">
        <f>IF(C8&gt;=C7,"✓ SAFE","Short $"&amp;TEXT(C7-C8,"#,##0"))</f>
        <v/>
      </c>
    </row>
    <row r="11" ht="24" customHeight="1">
      <c r="B11" s="65" t="inlineStr">
        <is>
          <t>Safe Harbor 2 — based on this year's tax</t>
        </is>
      </c>
    </row>
    <row r="12" ht="22" customHeight="1">
      <c r="B12" s="43" t="inlineStr">
        <is>
          <t>This year's projected total federal tax</t>
        </is>
      </c>
      <c r="C12" s="99">
        <f>TotalFedTax</f>
        <v/>
      </c>
      <c r="D12" s="72" t="inlineStr">
        <is>
          <t>From Tax Calculator</t>
        </is>
      </c>
    </row>
    <row r="13" ht="26" customHeight="1">
      <c r="B13" s="101" t="inlineStr">
        <is>
          <t>Safe harbor target (90% of this year's tax)</t>
        </is>
      </c>
      <c r="C13" s="89">
        <f>C12*0.9</f>
        <v/>
      </c>
      <c r="D13" s="72" t="inlineStr">
        <is>
          <t>If you pay at least 90% of what you'll actually owe, you're safe</t>
        </is>
      </c>
    </row>
    <row r="14" ht="22" customHeight="1">
      <c r="B14" s="43" t="inlineStr">
        <is>
          <t>Paid so far (Q1–Q4 federal + W-2 withholding)</t>
        </is>
      </c>
      <c r="C14" s="99">
        <f>FedPaidYTD+W2Withheld</f>
        <v/>
      </c>
      <c r="D14" s="72" t="inlineStr">
        <is>
          <t>Same total as Safe Harbor 1</t>
        </is>
      </c>
    </row>
    <row r="15" ht="32" customHeight="1">
      <c r="B15" s="101" t="inlineStr">
        <is>
          <t>Safe Harbor 2 status:</t>
        </is>
      </c>
      <c r="C15" s="106">
        <f>IF(C14&gt;=C13,"✓ SAFE","Short $"&amp;TEXT(C13-C14,"#,##0"))</f>
        <v/>
      </c>
    </row>
    <row r="17" ht="24" customHeight="1">
      <c r="B17" s="65" t="inlineStr">
        <is>
          <t>Are you penalty-safe?</t>
        </is>
      </c>
    </row>
    <row r="18" ht="38" customHeight="1">
      <c r="B18" s="101" t="inlineStr">
        <is>
          <t>Overall status:</t>
        </is>
      </c>
      <c r="C18" s="106">
        <f>IF(OR(C8&gt;=C7,C14&gt;=C13),"✓ YES — you're safe from penalty","⚠ Not yet — close one of the gaps above")</f>
        <v/>
      </c>
    </row>
    <row r="20" ht="70" customHeight="1">
      <c r="B20" s="4" t="inlineStr">
        <is>
          <t>You only need to satisfy ONE of the two tests to avoid the underpayment penalty. Most side hustlers hit Safe Harbor 1 because it's easier — you just need to pay last year's tax bill across four equal quarters. Safe Harbor 2 is for years when your income drops significantly.</t>
        </is>
      </c>
    </row>
  </sheetData>
  <mergeCells count="6">
    <mergeCell ref="B11:D11"/>
    <mergeCell ref="B3:D3"/>
    <mergeCell ref="B5:D5"/>
    <mergeCell ref="B17:D17"/>
    <mergeCell ref="B2:D2"/>
    <mergeCell ref="B20:D20"/>
  </mergeCells>
  <conditionalFormatting sqref="C9">
    <cfRule type="expression" priority="1" dxfId="9">
      <formula>ISNUMBER(SEARCH("SAFE",C9))</formula>
    </cfRule>
    <cfRule type="expression" priority="2" dxfId="10">
      <formula>ISNUMBER(SEARCH("Short",C9))</formula>
    </cfRule>
  </conditionalFormatting>
  <conditionalFormatting sqref="C15">
    <cfRule type="expression" priority="3" dxfId="9">
      <formula>ISNUMBER(SEARCH("SAFE",C15))</formula>
    </cfRule>
    <cfRule type="expression" priority="4" dxfId="10">
      <formula>ISNUMBER(SEARCH("Short",C15))</formula>
    </cfRule>
  </conditionalFormatting>
  <conditionalFormatting sqref="C18">
    <cfRule type="expression" priority="5" dxfId="9">
      <formula>ISNUMBER(SEARCH("YES",C18))</formula>
    </cfRule>
    <cfRule type="expression" priority="6" dxfId="11">
      <formula>ISNUMBER(SEARCH("Not yet",C18))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D3068"/>
    <outlinePr summaryBelow="1" summaryRight="1"/>
    <pageSetUpPr/>
  </sheetPr>
  <dimension ref="B2:E42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8" customWidth="1" min="3" max="3"/>
    <col width="18" customWidth="1" min="4" max="4"/>
    <col width="18" customWidth="1" min="5" max="5"/>
  </cols>
  <sheetData>
    <row r="2" ht="32" customHeight="1">
      <c r="B2" s="93" t="inlineStr">
        <is>
          <t>Worked Examples</t>
        </is>
      </c>
    </row>
    <row r="3">
      <c r="B3" s="72" t="inlineStr">
        <is>
          <t>Three real scenarios showing exactly what numbers go where. Compare to your own situation, then plug yours into the Setup tab.</t>
        </is>
      </c>
    </row>
    <row r="5" ht="28" customHeight="1">
      <c r="B5" s="107" t="inlineStr"/>
      <c r="C5" s="68" t="inlineStr">
        <is>
          <t>DoorDash full-timer</t>
        </is>
      </c>
      <c r="D5" s="68" t="inlineStr">
        <is>
          <t>Freelancer + W-2 day job</t>
        </is>
      </c>
      <c r="E5" s="68" t="inlineStr">
        <is>
          <t>Etsy seller</t>
        </is>
      </c>
    </row>
    <row r="6" ht="68" customHeight="1">
      <c r="B6" s="67" t="inlineStr">
        <is>
          <t>Situation</t>
        </is>
      </c>
      <c r="C6" s="108" t="inlineStr">
        <is>
          <t>Single, lives in CA, Dashes full time. Tracked 22,000 business miles. Gross earnings $58,000 minus $15,400 mileage deduction = $42,600 net.</t>
        </is>
      </c>
      <c r="D6" s="108" t="inlineStr">
        <is>
          <t>MFJ, NY, $48K W-2 day job with $5,400 federal withholding + $60K net freelance design work on the side.</t>
        </is>
      </c>
      <c r="E6" s="108" t="inlineStr">
        <is>
          <t>Single, TX (no state tax), Etsy print shop. $25,000 net profit after COGS and home office deduction.</t>
        </is>
      </c>
    </row>
    <row r="8" ht="24" customHeight="1">
      <c r="B8" s="65" t="inlineStr">
        <is>
          <t>Setup tab inputs</t>
        </is>
      </c>
    </row>
    <row r="9" ht="22" customHeight="1">
      <c r="B9" s="9" t="inlineStr">
        <is>
          <t>Filing status</t>
        </is>
      </c>
      <c r="C9" s="59" t="inlineStr">
        <is>
          <t>Single</t>
        </is>
      </c>
      <c r="D9" s="59" t="inlineStr">
        <is>
          <t>MFJ</t>
        </is>
      </c>
      <c r="E9" s="59" t="inlineStr">
        <is>
          <t>Single</t>
        </is>
      </c>
    </row>
    <row r="10" ht="22" customHeight="1">
      <c r="B10" s="9" t="inlineStr">
        <is>
          <t>State</t>
        </is>
      </c>
      <c r="C10" s="59" t="inlineStr">
        <is>
          <t>CA</t>
        </is>
      </c>
      <c r="D10" s="59" t="inlineStr">
        <is>
          <t>NY</t>
        </is>
      </c>
      <c r="E10" s="59" t="inlineStr">
        <is>
          <t>TX</t>
        </is>
      </c>
    </row>
    <row r="11" ht="22" customHeight="1">
      <c r="B11" s="9" t="inlineStr">
        <is>
          <t>State flat estimated tax rate</t>
        </is>
      </c>
      <c r="C11" s="109" t="n">
        <v>0.06</v>
      </c>
      <c r="D11" s="109" t="n">
        <v>0.05</v>
      </c>
      <c r="E11" s="109" t="n">
        <v>0</v>
      </c>
    </row>
    <row r="12" ht="22" customHeight="1">
      <c r="B12" s="9" t="inlineStr">
        <is>
          <t>Net SE income (annual)</t>
        </is>
      </c>
      <c r="C12" s="84" t="n">
        <v>42600</v>
      </c>
      <c r="D12" s="84" t="n">
        <v>60000</v>
      </c>
      <c r="E12" s="84" t="n">
        <v>25000</v>
      </c>
    </row>
    <row r="13" ht="22" customHeight="1">
      <c r="B13" s="9" t="inlineStr">
        <is>
          <t>W-2 income</t>
        </is>
      </c>
      <c r="C13" s="84" t="n">
        <v>0</v>
      </c>
      <c r="D13" s="84" t="n">
        <v>48000</v>
      </c>
      <c r="E13" s="84" t="n">
        <v>0</v>
      </c>
    </row>
    <row r="14" ht="22" customHeight="1">
      <c r="B14" s="9" t="inlineStr">
        <is>
          <t>Federal tax withheld from W-2</t>
        </is>
      </c>
      <c r="C14" s="84" t="n">
        <v>0</v>
      </c>
      <c r="D14" s="84" t="n">
        <v>5400</v>
      </c>
      <c r="E14" s="84" t="n">
        <v>0</v>
      </c>
    </row>
    <row r="15" ht="22" customHeight="1">
      <c r="B15" s="9" t="inlineStr">
        <is>
          <t>Last year's total federal tax</t>
        </is>
      </c>
      <c r="C15" s="84" t="n">
        <v>3200</v>
      </c>
      <c r="D15" s="84" t="n">
        <v>8900</v>
      </c>
      <c r="E15" s="84" t="n">
        <v>1800</v>
      </c>
    </row>
    <row r="16" ht="22" customHeight="1">
      <c r="B16" s="9" t="inlineStr">
        <is>
          <t>Last year's AGI</t>
        </is>
      </c>
      <c r="C16" s="84" t="n">
        <v>38000</v>
      </c>
      <c r="D16" s="84" t="n">
        <v>98000</v>
      </c>
      <c r="E16" s="84" t="n">
        <v>24000</v>
      </c>
    </row>
    <row r="18" ht="24" customHeight="1">
      <c r="B18" s="65" t="inlineStr">
        <is>
          <t>What the Tax Calculator returns</t>
        </is>
      </c>
    </row>
    <row r="19" ht="22" customHeight="1">
      <c r="B19" s="9" t="inlineStr">
        <is>
          <t>Net SE income × 92.35% (SE base)</t>
        </is>
      </c>
      <c r="C19" s="84" t="n">
        <v>39341</v>
      </c>
      <c r="D19" s="84" t="n">
        <v>55410</v>
      </c>
      <c r="E19" s="84" t="n">
        <v>23088</v>
      </c>
    </row>
    <row r="20" ht="22" customHeight="1">
      <c r="B20" s="9" t="inlineStr">
        <is>
          <t>Social Security (12.4%)</t>
        </is>
      </c>
      <c r="C20" s="84" t="n">
        <v>4878</v>
      </c>
      <c r="D20" s="84" t="n">
        <v>6871</v>
      </c>
      <c r="E20" s="84" t="n">
        <v>2863</v>
      </c>
    </row>
    <row r="21" ht="22" customHeight="1">
      <c r="B21" s="9" t="inlineStr">
        <is>
          <t>Medicare (2.9%)</t>
        </is>
      </c>
      <c r="C21" s="84" t="n">
        <v>1141</v>
      </c>
      <c r="D21" s="84" t="n">
        <v>1607</v>
      </c>
      <c r="E21" s="84" t="n">
        <v>669</v>
      </c>
    </row>
    <row r="22" ht="22" customHeight="1">
      <c r="B22" s="110" t="inlineStr">
        <is>
          <t>Total SE tax</t>
        </is>
      </c>
      <c r="C22" s="102" t="n">
        <v>6019</v>
      </c>
      <c r="D22" s="102" t="n">
        <v>8478</v>
      </c>
      <c r="E22" s="102" t="n">
        <v>3532</v>
      </c>
    </row>
    <row r="23" ht="22" customHeight="1">
      <c r="B23" s="9" t="inlineStr">
        <is>
          <t>AGI (W-2 + net SE − ½ SE tax)</t>
        </is>
      </c>
      <c r="C23" s="84" t="n">
        <v>39591</v>
      </c>
      <c r="D23" s="84" t="n">
        <v>103761</v>
      </c>
      <c r="E23" s="84" t="n">
        <v>23234</v>
      </c>
    </row>
    <row r="24" ht="22" customHeight="1">
      <c r="B24" s="9" t="inlineStr">
        <is>
          <t>Standard deduction</t>
        </is>
      </c>
      <c r="C24" s="84" t="n">
        <v>15750</v>
      </c>
      <c r="D24" s="84" t="n">
        <v>31500</v>
      </c>
      <c r="E24" s="84" t="n">
        <v>15750</v>
      </c>
    </row>
    <row r="25" ht="22" customHeight="1">
      <c r="B25" s="9" t="inlineStr">
        <is>
          <t>Taxable income</t>
        </is>
      </c>
      <c r="C25" s="84" t="n">
        <v>23841</v>
      </c>
      <c r="D25" s="84" t="n">
        <v>72261</v>
      </c>
      <c r="E25" s="84" t="n">
        <v>7484</v>
      </c>
    </row>
    <row r="26" ht="22" customHeight="1">
      <c r="B26" s="110" t="inlineStr">
        <is>
          <t>Federal income tax (bracket calc)</t>
        </is>
      </c>
      <c r="C26" s="102" t="n">
        <v>2622</v>
      </c>
      <c r="D26" s="102" t="n">
        <v>8195</v>
      </c>
      <c r="E26" s="102" t="n">
        <v>748</v>
      </c>
    </row>
    <row r="27" ht="22" customHeight="1">
      <c r="B27" s="110" t="inlineStr">
        <is>
          <t>State income tax</t>
        </is>
      </c>
      <c r="C27" s="102" t="n">
        <v>1430</v>
      </c>
      <c r="D27" s="102" t="n">
        <v>3613</v>
      </c>
      <c r="E27" s="102" t="n">
        <v>0</v>
      </c>
    </row>
    <row r="29" ht="24" customHeight="1">
      <c r="B29" s="65" t="inlineStr">
        <is>
          <t>What you'd pay each quarter</t>
        </is>
      </c>
    </row>
    <row r="30" ht="22" customHeight="1">
      <c r="B30" s="9" t="inlineStr">
        <is>
          <t>Total federal owed (SE + income tax)</t>
        </is>
      </c>
      <c r="C30" s="84" t="n">
        <v>8641</v>
      </c>
      <c r="D30" s="84" t="n">
        <v>16673</v>
      </c>
      <c r="E30" s="84" t="n">
        <v>4280</v>
      </c>
    </row>
    <row r="31" ht="22" customHeight="1">
      <c r="B31" s="9" t="inlineStr">
        <is>
          <t>Less: W-2 federal withholding</t>
        </is>
      </c>
      <c r="C31" s="84" t="n">
        <v>0</v>
      </c>
      <c r="D31" s="84" t="n">
        <v>-5400</v>
      </c>
      <c r="E31" s="84" t="n">
        <v>0</v>
      </c>
    </row>
    <row r="32" ht="22" customHeight="1">
      <c r="B32" s="110" t="inlineStr">
        <is>
          <t>Net federal owed (quarterly target ÷ 4)</t>
        </is>
      </c>
      <c r="C32" s="102" t="n">
        <v>8641</v>
      </c>
      <c r="D32" s="102" t="n">
        <v>11273</v>
      </c>
      <c r="E32" s="102" t="n">
        <v>4280</v>
      </c>
    </row>
    <row r="33" ht="22" customHeight="1">
      <c r="B33" s="110" t="inlineStr">
        <is>
          <t>Each federal quarterly payment</t>
        </is>
      </c>
      <c r="C33" s="102" t="n">
        <v>2160</v>
      </c>
      <c r="D33" s="102" t="n">
        <v>2818</v>
      </c>
      <c r="E33" s="102" t="n">
        <v>1070</v>
      </c>
    </row>
    <row r="34" ht="22" customHeight="1">
      <c r="B34" s="110" t="inlineStr">
        <is>
          <t>Each state quarterly payment</t>
        </is>
      </c>
      <c r="C34" s="102" t="n">
        <v>358</v>
      </c>
      <c r="D34" s="102" t="n">
        <v>903</v>
      </c>
      <c r="E34" s="102" t="n">
        <v>0</v>
      </c>
    </row>
    <row r="36" ht="24" customHeight="1">
      <c r="B36" s="65" t="inlineStr">
        <is>
          <t>Safe Harbor target (whichever is lower wins)</t>
        </is>
      </c>
    </row>
    <row r="37" ht="22" customHeight="1">
      <c r="B37" s="9" t="inlineStr">
        <is>
          <t>100% of last year's tax (110% if AGI &gt; $150K)</t>
        </is>
      </c>
      <c r="C37" s="84" t="n">
        <v>3200</v>
      </c>
      <c r="D37" s="84" t="n">
        <v>8900</v>
      </c>
      <c r="E37" s="84" t="n">
        <v>1800</v>
      </c>
    </row>
    <row r="38" ht="22" customHeight="1">
      <c r="B38" s="9" t="inlineStr">
        <is>
          <t>90% of this year's projected tax</t>
        </is>
      </c>
      <c r="C38" s="84" t="n">
        <v>7777</v>
      </c>
      <c r="D38" s="84" t="n">
        <v>15006</v>
      </c>
      <c r="E38" s="84" t="n">
        <v>3852</v>
      </c>
    </row>
    <row r="39" ht="22" customHeight="1">
      <c r="B39" s="110" t="inlineStr">
        <is>
          <t>Easier safe harbor — total to pay across 4 quarters</t>
        </is>
      </c>
      <c r="C39" s="102" t="n">
        <v>3200</v>
      </c>
      <c r="D39" s="102" t="n">
        <v>8900</v>
      </c>
      <c r="E39" s="102" t="n">
        <v>1800</v>
      </c>
    </row>
    <row r="40" ht="22" customHeight="1">
      <c r="B40" s="110">
        <f> safe-harbor quarterly amount</f>
        <v/>
      </c>
      <c r="C40" s="102" t="n">
        <v>800</v>
      </c>
      <c r="D40" s="102" t="n">
        <v>2225</v>
      </c>
      <c r="E40" s="102" t="n">
        <v>450</v>
      </c>
    </row>
    <row r="42" ht="70" customHeight="1">
      <c r="B42" s="4" t="inlineStr">
        <is>
          <t>Notice the difference: paying TRUE this-year tax is the conservative play (more cash out now, no April surprise). Paying SAFE-HARBOR is the minimum to avoid the penalty (lower quarterly checks, but you'll owe a balance in April). Both are valid. Most people pick safe-harbor for cash-flow reasons. The Quarterly Payments tab targets the TRUE number; drop it down to the safe-harbor number if cash is tight.</t>
        </is>
      </c>
    </row>
  </sheetData>
  <mergeCells count="7">
    <mergeCell ref="B18:E18"/>
    <mergeCell ref="B8:E8"/>
    <mergeCell ref="B29:E29"/>
    <mergeCell ref="B3:E3"/>
    <mergeCell ref="B2:E2"/>
    <mergeCell ref="B42:E42"/>
    <mergeCell ref="B36:E3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D3068"/>
    <outlinePr summaryBelow="1" summaryRight="1"/>
    <pageSetUpPr/>
  </sheetPr>
  <dimension ref="B2:C33"/>
  <sheetViews>
    <sheetView showGridLines="0" zoomScale="11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70" customWidth="1" min="3" max="3"/>
  </cols>
  <sheetData>
    <row r="2" ht="32" customHeight="1">
      <c r="B2" s="93" t="inlineStr">
        <is>
          <t>IRS &amp; State Quarterly Tax Reference</t>
        </is>
      </c>
    </row>
    <row r="3">
      <c r="B3" s="72" t="inlineStr">
        <is>
          <t>Plain-English answers to what gets people in trouble.</t>
        </is>
      </c>
    </row>
    <row r="5" ht="22" customHeight="1">
      <c r="B5" s="111" t="inlineStr">
        <is>
          <t>Q</t>
        </is>
      </c>
      <c r="C5" s="101" t="inlineStr">
        <is>
          <t>Where do I actually pay federal quarterly tax?</t>
        </is>
      </c>
    </row>
    <row r="6" ht="70" customHeight="1">
      <c r="C6" s="4" t="inlineStr">
        <is>
          <t>Three options. (1) IRS Direct Pay — irs.gov/payments/direct-pay — free, takes 2 minutes, pulls from a bank account. (2) EFTPS — eftps.gov — also free, requires a one-time enrollment, better if you want a permanent payment history. (3) Mail a check with Form 1040-ES voucher to the IRS address listed on the form for your state. Direct Pay is the easiest for almost everyone.</t>
        </is>
      </c>
    </row>
    <row r="8" ht="22" customHeight="1">
      <c r="B8" s="111" t="inlineStr">
        <is>
          <t>Q</t>
        </is>
      </c>
      <c r="C8" s="101" t="inlineStr">
        <is>
          <t>Do I need to file Form 1040-ES?</t>
        </is>
      </c>
    </row>
    <row r="9" ht="70" customHeight="1">
      <c r="C9" s="4" t="inlineStr">
        <is>
          <t>Technically no — Form 1040-ES is the paper voucher you mail with a check. If you pay electronically via Direct Pay or EFTPS, you don't file anything; the payment IS the filing. Just keep your confirmation number with your tax records.</t>
        </is>
      </c>
    </row>
    <row r="11" ht="22" customHeight="1">
      <c r="B11" s="111" t="inlineStr">
        <is>
          <t>Q</t>
        </is>
      </c>
      <c r="C11" s="101" t="inlineStr">
        <is>
          <t>How does the state work?</t>
        </is>
      </c>
    </row>
    <row r="12" ht="70" customHeight="1">
      <c r="C12" s="4" t="inlineStr">
        <is>
          <t>Every state with income tax has its own quarterly system. Most (CA, NY, IL, etc.) mirror the federal due dates. Search "[your state] estimated tax payments" — usually it's a one-page payment portal on your state's revenue/tax department site. California is FTB Web Pay. New York is the IT-2105 voucher or online via NY.gov. Texas, Florida, Washington, Nevada, Tennessee, South Dakota, Wyoming, Alaska, and New Hampshire have no state income tax — skip this entirely.</t>
        </is>
      </c>
    </row>
    <row r="14" ht="22" customHeight="1">
      <c r="B14" s="111" t="inlineStr">
        <is>
          <t>Q</t>
        </is>
      </c>
      <c r="C14" s="101" t="inlineStr">
        <is>
          <t>What if my income is uneven across the year?</t>
        </is>
      </c>
    </row>
    <row r="15" ht="70" customHeight="1">
      <c r="C15" s="4" t="inlineStr">
        <is>
          <t>You can use the "annualized income installment method" (Form 2210, Schedule AI) to pay less in slow quarters and more in busy ones — but it's a pain. Most people just pay equal quarters using Safe Harbor 1 (100% / 110% of last year's tax), which doesn't care when the income actually comes in.</t>
        </is>
      </c>
    </row>
    <row r="17" ht="22" customHeight="1">
      <c r="B17" s="111" t="inlineStr">
        <is>
          <t>Q</t>
        </is>
      </c>
      <c r="C17" s="101" t="inlineStr">
        <is>
          <t>What's the actual penalty if I skip a quarter?</t>
        </is>
      </c>
    </row>
    <row r="18" ht="70" customHeight="1">
      <c r="C18" s="4" t="inlineStr">
        <is>
          <t>The IRS charges the federal short-term rate + 3% on the underpaid amount, calculated quarterly. In 2025 that worked out to ~8% annualized. So if you should have paid $3,000 for Q1 and didn't, by April you owe an extra ~$60. Skip all four quarters on a $15K bill and you're looking at $400-$800 in penalties. The penalty is non-deductible — pure waste.</t>
        </is>
      </c>
    </row>
    <row r="20" ht="22" customHeight="1">
      <c r="B20" s="111" t="inlineStr">
        <is>
          <t>Q</t>
        </is>
      </c>
      <c r="C20" s="101" t="inlineStr">
        <is>
          <t>Can I overpay to be safe?</t>
        </is>
      </c>
    </row>
    <row r="21" ht="70" customHeight="1">
      <c r="C21" s="4" t="inlineStr">
        <is>
          <t>Yes, and many people do. Pay an extra 5-10% per quarter to give yourself buffer; the IRS refunds the excess (or rolls it forward) when you file. There's no penalty for overpaying. The only "cost" is the lost interest on that cash — usually pennies compared to the underpayment penalty.</t>
        </is>
      </c>
    </row>
    <row r="23" ht="22" customHeight="1">
      <c r="B23" s="111" t="inlineStr">
        <is>
          <t>Q</t>
        </is>
      </c>
      <c r="C23" s="101" t="inlineStr">
        <is>
          <t>I had a huge year. Last year was tiny. Do I really only owe what last year's tax was × 4?</t>
        </is>
      </c>
    </row>
    <row r="24" ht="70" customHeight="1">
      <c r="C24" s="4" t="inlineStr">
        <is>
          <t>Under Safe Harbor 1, yes — for THIS year. You hit the safe harbor by paying 100%/110% of last year's tax. The catch: in April when you file, you'll owe a LARGE balance for this year's true tax. No penalty, but the bill is still due. Start putting cash aside in a separate account so April doesn't bury you.</t>
        </is>
      </c>
    </row>
    <row r="26" ht="22" customHeight="1">
      <c r="B26" s="111" t="inlineStr">
        <is>
          <t>Q</t>
        </is>
      </c>
      <c r="C26" s="101" t="inlineStr">
        <is>
          <t>What if I miss a quarter and want to catch up?</t>
        </is>
      </c>
    </row>
    <row r="27" ht="70" customHeight="1">
      <c r="C27" s="4" t="inlineStr">
        <is>
          <t>Pay the missed amount as soon as you can with your next payment. The penalty accrues per day, so paying late is much better than not paying. You can't "backdate" a quarter, but you can stop the bleeding.</t>
        </is>
      </c>
    </row>
    <row r="29" ht="22" customHeight="1">
      <c r="B29" s="111" t="inlineStr">
        <is>
          <t>Q</t>
        </is>
      </c>
      <c r="C29" s="101" t="inlineStr">
        <is>
          <t>Does this work if I'm both W-2 and self-employed?</t>
        </is>
      </c>
    </row>
    <row r="30" ht="70" customHeight="1">
      <c r="C30" s="4" t="inlineStr">
        <is>
          <t>Yes. The Tax Calculator already factors in your W-2 income and withholding. The Net federal owed number on that tab assumes your employer's withholding takes care of the W-2 portion, so you only need to send quarterlies for the SE side. Make sure the W-2 withholding number you entered is the FULL YEAR amount, not just YTD.</t>
        </is>
      </c>
    </row>
    <row r="32" ht="22" customHeight="1">
      <c r="B32" s="111" t="inlineStr">
        <is>
          <t>Q</t>
        </is>
      </c>
      <c r="C32" s="101" t="inlineStr">
        <is>
          <t>Do I need to keep records of payments?</t>
        </is>
      </c>
    </row>
    <row r="33" ht="70" customHeight="1">
      <c r="C33" s="4" t="inlineStr">
        <is>
          <t>Yes — keep electronic confirmations (Direct Pay sends an email; EFTPS keeps history online; mailed checks → keep the bank's cleared-check image). Match these to the Paid date and Paid $ columns on the Quarterly Payments tab. At year-end, the total of your four quarterly payments goes on Form 1040 line 26.</t>
        </is>
      </c>
    </row>
  </sheetData>
  <mergeCells count="2">
    <mergeCell ref="B3:C3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2026-05-11T22:05:12Z</dcterms:created>
  <dcterms:modified xsi:type="dcterms:W3CDTF">2026-05-25T16:06:48Z</dcterms:modified>
</cp:coreProperties>
</file>