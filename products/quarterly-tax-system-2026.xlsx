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etup" sheetId="2" state="visible" r:id="rId2"/>
    <sheet name="Income Forecast" sheetId="3" state="visible" r:id="rId3"/>
    <sheet name="Tax Calculator" sheetId="4" state="visible" r:id="rId4"/>
    <sheet name="Quarterly Payments" sheetId="5" state="visible" r:id="rId5"/>
    <sheet name="Safe Harbor" sheetId="6" state="visible" r:id="rId6"/>
    <sheet name="IRS Reference" sheetId="7" state="visible" r:id="rId7"/>
  </sheets>
  <definedNames>
    <definedName name="TaxYear">Setup!$C$6</definedName>
    <definedName name="FilingStatus">Setup!$C$7</definedName>
    <definedName name="StateCode">Setup!$C$8</definedName>
    <definedName name="StateRate">Setup!$C$9</definedName>
    <definedName name="SEOverride">Setup!$C$12</definedName>
    <definedName name="W2Income">Setup!$C$13</definedName>
    <definedName name="W2Withheld">Setup!$C$14</definedName>
    <definedName name="LastYearTax">Setup!$C$17</definedName>
    <definedName name="LastYearAGI">Setup!$C$18</definedName>
    <definedName name="StdDedSingle">Setup!$C$21</definedName>
    <definedName name="StdDedMFJ">Setup!$C$22</definedName>
    <definedName name="StdDedHOH">Setup!$C$23</definedName>
    <definedName name="SSWageBase">Setup!$C$24</definedName>
    <definedName name="BracketsSingle">Setup!$B$28:$B$34</definedName>
    <definedName name="BracketsMFJ">Setup!$C$28:$C$34</definedName>
    <definedName name="BracketsRate">Setup!$D$28:$D$34</definedName>
    <definedName name="Q1Income">'Income Forecast'!$D$22</definedName>
    <definedName name="Q2Income">'Income Forecast'!$D$23</definedName>
    <definedName name="Q3Income">'Income Forecast'!$D$24</definedName>
    <definedName name="Q4Income">'Income Forecast'!$D$25</definedName>
    <definedName name="AnnualSEForecast">'Income Forecast'!$I$18</definedName>
    <definedName name="NetFedOwed">'Tax Calculator'!$C$23</definedName>
    <definedName name="NetStateOwed">'Tax Calculator'!$C$24</definedName>
    <definedName name="TotalFedTax">'Tax Calculator'!$C$21</definedName>
    <definedName name="SETax">'Tax Calculator'!$C$10</definedName>
    <definedName name="FedIncomeTax">'Tax Calculator'!$C$17</definedName>
    <definedName name="FedPaidYTD">'Quarterly Payments'!$F$11</definedName>
    <definedName name="StatePaidYTD">'Quarterly Payments'!$F$20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"/>
    <numFmt numFmtId="166" formatCode="yyyy-mm-dd"/>
  </numFmts>
  <fonts count="14">
    <font>
      <name val="Calibri"/>
      <family val="2"/>
      <color theme="1"/>
      <sz val="11"/>
      <scheme val="minor"/>
    </font>
    <font>
      <name val="Calibri"/>
      <b val="1"/>
      <color rgb="FF1C2B4A"/>
      <sz val="26"/>
    </font>
    <font>
      <name val="Calibri"/>
      <i val="1"/>
      <color rgb="FFC9973A"/>
      <sz val="11"/>
    </font>
    <font>
      <name val="Calibri"/>
      <b val="1"/>
      <color rgb="FF1C2B4A"/>
      <sz val="15"/>
    </font>
    <font>
      <name val="Calibri"/>
      <color rgb="FF333333"/>
      <sz val="11"/>
    </font>
    <font>
      <name val="Calibri"/>
      <b val="1"/>
      <color rgb="FFC9973A"/>
      <sz val="22"/>
    </font>
    <font>
      <name val="Calibri"/>
      <b val="1"/>
      <color rgb="FF1C2B4A"/>
      <sz val="12"/>
    </font>
    <font>
      <name val="Calibri"/>
      <b val="1"/>
      <color rgb="FFFFFFFF"/>
      <sz val="11"/>
    </font>
    <font>
      <name val="Calibri"/>
      <b val="1"/>
      <color rgb="FF1C2B4A"/>
      <sz val="11"/>
    </font>
    <font>
      <name val="Calibri"/>
      <i val="1"/>
      <color rgb="FF6B7A96"/>
      <sz val="9"/>
    </font>
    <font>
      <name val="Calibri"/>
      <b val="1"/>
      <color rgb="FF1C2B4A"/>
      <sz val="22"/>
    </font>
    <font>
      <name val="Calibri"/>
      <color rgb="FF6B7A96"/>
      <sz val="10"/>
    </font>
    <font>
      <name val="Calibri"/>
      <b val="1"/>
      <color rgb="FF1C2B4A"/>
      <sz val="14"/>
    </font>
    <font>
      <name val="Calibri"/>
      <b val="1"/>
      <color rgb="FFC9973A"/>
      <sz val="12"/>
    </font>
  </fonts>
  <fills count="6">
    <fill>
      <patternFill/>
    </fill>
    <fill>
      <patternFill patternType="gray125"/>
    </fill>
    <fill>
      <patternFill patternType="solid">
        <fgColor rgb="FF1C2B4A"/>
        <bgColor rgb="FF1C2B4A"/>
      </patternFill>
    </fill>
    <fill>
      <patternFill patternType="solid">
        <fgColor rgb="FFFDF5E8"/>
        <bgColor rgb="FFFDF5E8"/>
      </patternFill>
    </fill>
    <fill>
      <patternFill patternType="solid">
        <fgColor rgb="FFC9973A"/>
        <bgColor rgb="FFC9973A"/>
      </patternFill>
    </fill>
    <fill>
      <patternFill patternType="solid">
        <fgColor rgb="FFF0ECE3"/>
        <bgColor rgb="FFF0ECE3"/>
      </patternFill>
    </fill>
  </fills>
  <borders count="11">
    <border>
      <left/>
      <right/>
      <top/>
      <bottom/>
      <diagonal/>
    </border>
    <border>
      <left style="thin">
        <color rgb="FFE5E7ED"/>
      </left>
      <right style="thin">
        <color rgb="FFE5E7ED"/>
      </right>
      <top style="thin">
        <color rgb="FFE5E7ED"/>
      </top>
      <bottom style="thin">
        <color rgb="FFE5E7ED"/>
      </bottom>
    </border>
    <border>
      <left/>
      <right/>
      <top style="thin">
        <color rgb="FFE5E7ED"/>
      </top>
      <bottom/>
      <diagonal/>
    </border>
    <border>
      <left/>
      <right style="thin">
        <color rgb="FFE5E7ED"/>
      </right>
      <top style="thin">
        <color rgb="FFE5E7ED"/>
      </top>
      <bottom/>
      <diagonal/>
    </border>
    <border>
      <left/>
      <right style="thin">
        <color rgb="FFE5E7ED"/>
      </right>
      <top style="thin">
        <color rgb="FFE5E7ED"/>
      </top>
      <bottom style="thin">
        <color rgb="FFE5E7ED"/>
      </bottom>
      <diagonal/>
    </border>
    <border>
      <left/>
      <right/>
      <top style="thin">
        <color rgb="FFE5E7ED"/>
      </top>
      <bottom style="thin">
        <color rgb="FFE5E7ED"/>
      </bottom>
      <diagonal/>
    </border>
    <border>
      <left style="thin">
        <color rgb="FFC9973A"/>
      </left>
      <right style="thin">
        <color rgb="FFC9973A"/>
      </right>
      <top style="thin">
        <color rgb="FFC9973A"/>
      </top>
      <bottom style="thin">
        <color rgb="FFC9973A"/>
      </bottom>
    </border>
    <border>
      <left style="thin">
        <color rgb="FF1C2B4A"/>
      </left>
      <right style="thin">
        <color rgb="FF1C2B4A"/>
      </right>
      <top style="thin">
        <color rgb="FF1C2B4A"/>
      </top>
      <bottom style="thin">
        <color rgb="FF1C2B4A"/>
      </bottom>
    </border>
    <border>
      <left/>
      <right/>
      <top style="thin">
        <color rgb="FFC9973A"/>
      </top>
      <bottom/>
      <diagonal/>
    </border>
    <border>
      <left/>
      <right style="thin">
        <color rgb="FFC9973A"/>
      </right>
      <top style="thin">
        <color rgb="FFC9973A"/>
      </top>
      <bottom/>
      <diagonal/>
    </border>
    <border>
      <left/>
      <right style="thin">
        <color rgb="FFC9973A"/>
      </right>
      <top style="thin">
        <color rgb="FFC9973A"/>
      </top>
      <bottom style="thin">
        <color rgb="FFC9973A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right" vertical="center"/>
    </xf>
    <xf numFmtId="164" fontId="6" fillId="3" borderId="6" applyAlignment="1" pivotButton="0" quotePrefix="0" xfId="0">
      <alignment horizontal="right" vertical="center"/>
    </xf>
    <xf numFmtId="165" fontId="6" fillId="3" borderId="6" applyAlignment="1" pivotButton="0" quotePrefix="0" xfId="0">
      <alignment horizontal="right" vertical="center"/>
    </xf>
    <xf numFmtId="165" fontId="4" fillId="3" borderId="6" applyAlignment="1" pivotButton="0" quotePrefix="0" xfId="0">
      <alignment horizontal="right" vertical="center"/>
    </xf>
    <xf numFmtId="164" fontId="4" fillId="3" borderId="6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right" vertical="center"/>
    </xf>
    <xf numFmtId="0" fontId="6" fillId="3" borderId="6" applyAlignment="1" pivotButton="0" quotePrefix="0" xfId="0">
      <alignment horizontal="left" vertical="center" wrapText="1"/>
    </xf>
    <xf numFmtId="165" fontId="8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165" fontId="6" fillId="3" borderId="1" applyAlignment="1" pivotButton="0" quotePrefix="0" xfId="0">
      <alignment horizontal="right" vertical="center"/>
    </xf>
    <xf numFmtId="0" fontId="7" fillId="2" borderId="7" applyAlignment="1" pivotButton="0" quotePrefix="0" xfId="0">
      <alignment horizontal="center" vertical="center" wrapText="1"/>
    </xf>
    <xf numFmtId="166" fontId="4" fillId="3" borderId="6" pivotButton="0" quotePrefix="0" xfId="0"/>
    <xf numFmtId="0" fontId="4" fillId="3" borderId="6" applyAlignment="1" pivotButton="0" quotePrefix="0" xfId="0">
      <alignment horizontal="left" vertical="center" wrapText="1"/>
    </xf>
    <xf numFmtId="0" fontId="0" fillId="0" borderId="10" pivotButton="0" quotePrefix="0" xfId="0"/>
    <xf numFmtId="9" fontId="8" fillId="5" borderId="1" applyAlignment="1" pivotButton="0" quotePrefix="0" xfId="0">
      <alignment horizontal="right" vertical="center"/>
    </xf>
    <xf numFmtId="0" fontId="12" fillId="0" borderId="6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6">
    <dxf>
      <font>
        <b val="1"/>
        <color rgb="FF276944"/>
      </font>
      <fill>
        <patternFill patternType="solid">
          <fgColor rgb="FFEAF5EF"/>
          <bgColor rgb="FFEAF5EF"/>
        </patternFill>
      </fill>
    </dxf>
    <dxf>
      <font>
        <b val="1"/>
        <color rgb="FFA86C0A"/>
      </font>
      <fill>
        <patternFill patternType="solid">
          <fgColor rgb="FFFEF6E8"/>
          <bgColor rgb="FFFEF6E8"/>
        </patternFill>
      </fill>
    </dxf>
    <dxf>
      <font>
        <b val="1"/>
        <color rgb="FFB83232"/>
      </font>
      <fill>
        <patternFill patternType="solid">
          <fgColor rgb="FFFBE9E9"/>
          <bgColor rgb="FFFBE9E9"/>
        </patternFill>
      </fill>
    </dxf>
    <dxf>
      <font>
        <b val="1"/>
        <color rgb="FF276944"/>
        <sz val="14"/>
      </font>
      <fill>
        <patternFill patternType="solid">
          <fgColor rgb="FFEAF5EF"/>
          <bgColor rgb="FFEAF5EF"/>
        </patternFill>
      </fill>
    </dxf>
    <dxf>
      <font>
        <b val="1"/>
        <color rgb="FFB83232"/>
        <sz val="14"/>
      </font>
      <fill>
        <patternFill patternType="solid">
          <fgColor rgb="FFFBE9E9"/>
          <bgColor rgb="FFFBE9E9"/>
        </patternFill>
      </fill>
    </dxf>
    <dxf>
      <font>
        <b val="1"/>
        <color rgb="FFA86C0A"/>
        <sz val="14"/>
      </font>
      <fill>
        <patternFill patternType="solid">
          <fgColor rgb="FFFEF6E8"/>
          <bgColor rgb="FFFEF6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4"/>
  <sheetViews>
    <sheetView showGridLines="0" zoomScale="11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 ht="38" customHeight="1">
      <c r="B2" s="1" t="inlineStr">
        <is>
          <t>Quarterly Tax System 2026</t>
        </is>
      </c>
    </row>
    <row r="3">
      <c r="B3" s="2" t="inlineStr">
        <is>
          <t>SideHustleGuard · sidehustleguard.com</t>
        </is>
      </c>
    </row>
    <row r="5" ht="6" customHeight="1"/>
    <row r="6" ht="22" customHeight="1">
      <c r="B6" s="3" t="inlineStr">
        <is>
          <t>What this tool does</t>
        </is>
      </c>
    </row>
    <row r="7" ht="85" customHeight="1">
      <c r="B7" s="4" t="inlineStr">
        <is>
          <t>Tells you exactly how much to send the IRS (and your state) each quarter so you never get hit with an underpayment penalty in April. Works for any self-employed income — gig driving, Airbnb, Etsy, freelance, consulting, multiple streams. Builds a complete record of every payment so when you sit down with your CPA in March, the work is already done.</t>
        </is>
      </c>
    </row>
    <row r="9" ht="22" customHeight="1">
      <c r="B9" s="3" t="inlineStr">
        <is>
          <t>How to use it (3 steps)</t>
        </is>
      </c>
    </row>
    <row r="10" ht="56" customHeight="1">
      <c r="B10" s="5" t="inlineStr">
        <is>
          <t>1.</t>
        </is>
      </c>
      <c r="C10" s="6" t="inlineStr">
        <is>
          <t>Fill in the Setup tab.</t>
        </is>
      </c>
      <c r="D10" s="4" t="inlineStr">
        <is>
          <t>Filing status, state, what you expect to make this year, what you owed in tax last year, and any W-2 income from a day job. Defaults are pre-filled — just edit the gold cells.</t>
        </is>
      </c>
    </row>
    <row r="11" ht="56" customHeight="1">
      <c r="B11" s="5" t="inlineStr">
        <is>
          <t>2.</t>
        </is>
      </c>
      <c r="C11" s="6" t="inlineStr">
        <is>
          <t>Forecast your year on the Income Forecast tab.</t>
        </is>
      </c>
      <c r="D11" s="4" t="inlineStr">
        <is>
          <t>Drop in your expected net income (after deductions like mileage) for each month. You can break it down by platform (DoorDash + Etsy + freelance) or just enter one annual number.</t>
        </is>
      </c>
    </row>
    <row r="12" ht="56" customHeight="1">
      <c r="B12" s="5" t="inlineStr">
        <is>
          <t>3.</t>
        </is>
      </c>
      <c r="C12" s="6" t="inlineStr">
        <is>
          <t>Check the Quarterly Payments tab before each due date.</t>
        </is>
      </c>
      <c r="D12" s="4" t="inlineStr">
        <is>
          <t>It shows you exactly what to send the IRS for Q1, Q2, Q3, Q4, and the state. Log each payment in the same tab so you have a complete record.</t>
        </is>
      </c>
    </row>
    <row r="14" ht="22" customHeight="1">
      <c r="B14" s="3" t="inlineStr">
        <is>
          <t>Quarterly due dates</t>
        </is>
      </c>
    </row>
    <row r="15" ht="24" customHeight="1">
      <c r="B15" s="7" t="inlineStr">
        <is>
          <t>Quarter</t>
        </is>
      </c>
      <c r="C15" s="7" t="inlineStr">
        <is>
          <t>Covers income from</t>
        </is>
      </c>
      <c r="D15" s="7" t="inlineStr">
        <is>
          <t>Federal due</t>
        </is>
      </c>
      <c r="F15" s="7" t="inlineStr">
        <is>
          <t>State due (most states)</t>
        </is>
      </c>
    </row>
    <row r="16" ht="22" customHeight="1">
      <c r="B16" s="8" t="inlineStr">
        <is>
          <t>Q1</t>
        </is>
      </c>
      <c r="C16" s="9" t="inlineStr">
        <is>
          <t>Jan – Mar</t>
        </is>
      </c>
      <c r="D16" s="10" t="inlineStr">
        <is>
          <t>April 15</t>
        </is>
      </c>
      <c r="E16" s="11" t="n"/>
      <c r="F16" s="9" t="inlineStr">
        <is>
          <t>April 15 (same)</t>
        </is>
      </c>
      <c r="G16" s="12" t="n"/>
      <c r="H16" s="11" t="n"/>
    </row>
    <row r="17" ht="22" customHeight="1">
      <c r="B17" s="8" t="inlineStr">
        <is>
          <t>Q2</t>
        </is>
      </c>
      <c r="C17" s="9" t="inlineStr">
        <is>
          <t>Apr – May</t>
        </is>
      </c>
      <c r="D17" s="10" t="inlineStr">
        <is>
          <t>June 15</t>
        </is>
      </c>
      <c r="E17" s="11" t="n"/>
      <c r="F17" s="9" t="inlineStr">
        <is>
          <t>June 15 (same)</t>
        </is>
      </c>
      <c r="G17" s="12" t="n"/>
      <c r="H17" s="11" t="n"/>
    </row>
    <row r="18" ht="22" customHeight="1">
      <c r="B18" s="8" t="inlineStr">
        <is>
          <t>Q3</t>
        </is>
      </c>
      <c r="C18" s="9" t="inlineStr">
        <is>
          <t>Jun – Aug</t>
        </is>
      </c>
      <c r="D18" s="10" t="inlineStr">
        <is>
          <t>September 15</t>
        </is>
      </c>
      <c r="E18" s="11" t="n"/>
      <c r="F18" s="9" t="inlineStr">
        <is>
          <t>September 15 (same)</t>
        </is>
      </c>
      <c r="G18" s="12" t="n"/>
      <c r="H18" s="11" t="n"/>
    </row>
    <row r="19" ht="22" customHeight="1">
      <c r="B19" s="8" t="inlineStr">
        <is>
          <t>Q4</t>
        </is>
      </c>
      <c r="C19" s="9" t="inlineStr">
        <is>
          <t>Sep – Dec</t>
        </is>
      </c>
      <c r="D19" s="10" t="inlineStr">
        <is>
          <t>January 15 (next year)</t>
        </is>
      </c>
      <c r="E19" s="11" t="n"/>
      <c r="F19" s="9" t="inlineStr">
        <is>
          <t>January 15 (next year)</t>
        </is>
      </c>
      <c r="G19" s="12" t="n"/>
      <c r="H19" s="11" t="n"/>
    </row>
    <row r="21" ht="22" customHeight="1">
      <c r="B21" s="3" t="inlineStr">
        <is>
          <t>Why this matters</t>
        </is>
      </c>
    </row>
    <row r="22" ht="80" customHeight="1">
      <c r="B22" s="4" t="inlineStr">
        <is>
          <t>If you owe more than $1,000 in tax and didn't make quarterly payments — or paid less than the "safe harbor" amount — the IRS adds an underpayment penalty on top of what you owe. The penalty is calculated quarterly at the federal short-term rate plus 3% (typically 6–8% annualized). On a $15,000 tax bill, that's an extra $400–$800 that didn't have to exist. This tool exists to make sure you hit one of the two safe-harbor tests so the penalty never applies.</t>
        </is>
      </c>
    </row>
    <row r="24" ht="50" customHeight="1">
      <c r="B24" s="13" t="inlineStr">
        <is>
          <t>Educational tool only — not tax or legal advice. Tax brackets, SE tax wage base, and state rates change annually. Verify all defaults against current IRS and state publications. For complex situations (W-2 + SE income, joint filers with separate businesses, large investment income), consult a CPA.</t>
        </is>
      </c>
    </row>
  </sheetData>
  <mergeCells count="22">
    <mergeCell ref="B9:H9"/>
    <mergeCell ref="F18:H18"/>
    <mergeCell ref="D10:H10"/>
    <mergeCell ref="D19:E19"/>
    <mergeCell ref="B6:H6"/>
    <mergeCell ref="B24:H24"/>
    <mergeCell ref="F17:H17"/>
    <mergeCell ref="D11:H11"/>
    <mergeCell ref="B7:H7"/>
    <mergeCell ref="B3:H3"/>
    <mergeCell ref="D17:E17"/>
    <mergeCell ref="B22:H22"/>
    <mergeCell ref="D16:E16"/>
    <mergeCell ref="B21:H21"/>
    <mergeCell ref="B2:H2"/>
    <mergeCell ref="D18:E18"/>
    <mergeCell ref="D12:H12"/>
    <mergeCell ref="B14:H14"/>
    <mergeCell ref="F16:H16"/>
    <mergeCell ref="F19:H19"/>
    <mergeCell ref="D15:E15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36"/>
  <sheetViews>
    <sheetView showGridLines="0" zoomScale="11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8" customWidth="1" min="3" max="3"/>
    <col width="50" customWidth="1" min="4" max="4"/>
  </cols>
  <sheetData>
    <row r="2" ht="32" customHeight="1">
      <c r="B2" s="14" t="inlineStr">
        <is>
          <t>Setup</t>
        </is>
      </c>
    </row>
    <row r="3">
      <c r="B3" s="15" t="inlineStr">
        <is>
          <t>Edit the gold cells. Everything else reads from here.</t>
        </is>
      </c>
    </row>
    <row r="5" ht="24" customHeight="1">
      <c r="B5" s="3" t="inlineStr">
        <is>
          <t>Year &amp; filing status</t>
        </is>
      </c>
    </row>
    <row r="6" ht="24" customHeight="1">
      <c r="B6" s="16" t="inlineStr">
        <is>
          <t>Tax year</t>
        </is>
      </c>
      <c r="C6" s="17" t="n">
        <v>2026</v>
      </c>
      <c r="D6" s="15" t="inlineStr">
        <is>
          <t>The year you're paying taxes for</t>
        </is>
      </c>
    </row>
    <row r="7" ht="24" customHeight="1">
      <c r="B7" s="16" t="inlineStr">
        <is>
          <t>Filing status</t>
        </is>
      </c>
      <c r="C7" s="17" t="inlineStr">
        <is>
          <t>Single</t>
        </is>
      </c>
      <c r="D7" s="15" t="inlineStr">
        <is>
          <t>Single, MFJ, MFS, HOH</t>
        </is>
      </c>
    </row>
    <row r="8" ht="24" customHeight="1">
      <c r="B8" s="16" t="inlineStr">
        <is>
          <t>State</t>
        </is>
      </c>
      <c r="C8" s="17" t="inlineStr">
        <is>
          <t>CA</t>
        </is>
      </c>
      <c r="D8" s="15" t="inlineStr">
        <is>
          <t>Two-letter code (e.g., CA, TX, FL, NY)</t>
        </is>
      </c>
    </row>
    <row r="9" ht="24" customHeight="1">
      <c r="B9" s="16" t="inlineStr">
        <is>
          <t>State flat estimated tax rate</t>
        </is>
      </c>
      <c r="C9" s="18" t="n">
        <v>0.06</v>
      </c>
      <c r="D9" s="15" t="inlineStr">
        <is>
          <t>Override the lookup below if you know your effective rate. Edit at any time.</t>
        </is>
      </c>
    </row>
    <row r="11" ht="24" customHeight="1">
      <c r="B11" s="3" t="inlineStr">
        <is>
          <t>This year's income (overrides if filled)</t>
        </is>
      </c>
    </row>
    <row r="12" ht="24" customHeight="1">
      <c r="B12" s="16" t="inlineStr">
        <is>
          <t>Estimated net self-employment income (annual)</t>
        </is>
      </c>
      <c r="C12" s="19" t="n">
        <v>0</v>
      </c>
      <c r="D12" s="15" t="inlineStr">
        <is>
          <t>Leave 0 to use the month-by-month forecast on the Income Forecast tab</t>
        </is>
      </c>
    </row>
    <row r="13" ht="24" customHeight="1">
      <c r="B13" s="16" t="inlineStr">
        <is>
          <t>W-2 income (if you also have a day job)</t>
        </is>
      </c>
      <c r="C13" s="19" t="n">
        <v>0</v>
      </c>
      <c r="D13" s="15" t="inlineStr">
        <is>
          <t>Gross wages, before tax</t>
        </is>
      </c>
    </row>
    <row r="14" ht="24" customHeight="1">
      <c r="B14" s="16" t="inlineStr">
        <is>
          <t>Federal tax withheld from W-2 (this year)</t>
        </is>
      </c>
      <c r="C14" s="19" t="n">
        <v>0</v>
      </c>
      <c r="D14" s="15" t="inlineStr">
        <is>
          <t>From your most recent paystub × pay periods left, or your W-2 box 2</t>
        </is>
      </c>
    </row>
    <row r="16" ht="24" customHeight="1">
      <c r="B16" s="3" t="inlineStr">
        <is>
          <t>Last year — for safe harbor calculation</t>
        </is>
      </c>
    </row>
    <row r="17" ht="24" customHeight="1">
      <c r="B17" s="16" t="inlineStr">
        <is>
          <t>Total federal tax owed last year (Form 1040 line 24)</t>
        </is>
      </c>
      <c r="C17" s="19" t="n">
        <v>0</v>
      </c>
      <c r="D17" s="15" t="inlineStr">
        <is>
          <t>Look at last year's return. This sets the 100%/110% safe harbor.</t>
        </is>
      </c>
    </row>
    <row r="18" ht="24" customHeight="1">
      <c r="B18" s="16" t="inlineStr">
        <is>
          <t>Last year's AGI (Form 1040 line 11)</t>
        </is>
      </c>
      <c r="C18" s="19" t="n">
        <v>0</v>
      </c>
      <c r="D18" s="15" t="inlineStr">
        <is>
          <t>If above $150K, safe harbor is 110% of last year's tax instead of 100%</t>
        </is>
      </c>
    </row>
    <row r="20" ht="24" customHeight="1">
      <c r="B20" s="3" t="inlineStr">
        <is>
          <t>Federal tax constants (edit each year)</t>
        </is>
      </c>
    </row>
    <row r="21" ht="24" customHeight="1">
      <c r="B21" s="16" t="inlineStr">
        <is>
          <t>Standard deduction (single / MFS)</t>
        </is>
      </c>
      <c r="C21" s="19" t="n">
        <v>15750</v>
      </c>
      <c r="D21" s="15" t="inlineStr">
        <is>
          <t>2025 value as published by IRS. Update for your tax year.</t>
        </is>
      </c>
    </row>
    <row r="22" ht="24" customHeight="1">
      <c r="B22" s="16" t="inlineStr">
        <is>
          <t>Standard deduction (MFJ)</t>
        </is>
      </c>
      <c r="C22" s="19" t="n">
        <v>31500</v>
      </c>
      <c r="D22" s="15" t="inlineStr">
        <is>
          <t>2025 value</t>
        </is>
      </c>
    </row>
    <row r="23" ht="24" customHeight="1">
      <c r="B23" s="16" t="inlineStr">
        <is>
          <t>Standard deduction (HOH)</t>
        </is>
      </c>
      <c r="C23" s="19" t="n">
        <v>23625</v>
      </c>
      <c r="D23" s="15" t="inlineStr">
        <is>
          <t>2025 value</t>
        </is>
      </c>
    </row>
    <row r="24" ht="24" customHeight="1">
      <c r="B24" s="16" t="inlineStr">
        <is>
          <t>Social Security wage base</t>
        </is>
      </c>
      <c r="C24" s="19" t="n">
        <v>176100</v>
      </c>
      <c r="D24" s="15" t="inlineStr">
        <is>
          <t>2025 value. SE tax SS portion (12.4%) only applies up to this.</t>
        </is>
      </c>
    </row>
    <row r="26" ht="24" customHeight="1">
      <c r="B26" s="3" t="inlineStr">
        <is>
          <t>Federal income tax brackets (2025 — edit each year)</t>
        </is>
      </c>
    </row>
    <row r="27" ht="22" customHeight="1">
      <c r="B27" s="7" t="inlineStr">
        <is>
          <t>Bracket top (Single)</t>
        </is>
      </c>
      <c r="C27" s="7" t="inlineStr">
        <is>
          <t>Bracket top (MFJ)</t>
        </is>
      </c>
      <c r="D27" s="7" t="inlineStr">
        <is>
          <t>Marginal rate</t>
        </is>
      </c>
    </row>
    <row r="28" ht="20" customHeight="1">
      <c r="B28" s="20" t="n">
        <v>11925</v>
      </c>
      <c r="C28" s="20" t="n">
        <v>23850</v>
      </c>
      <c r="D28" s="21" t="n">
        <v>0.1</v>
      </c>
    </row>
    <row r="29" ht="20" customHeight="1">
      <c r="B29" s="20" t="n">
        <v>48475</v>
      </c>
      <c r="C29" s="20" t="n">
        <v>96950</v>
      </c>
      <c r="D29" s="21" t="n">
        <v>0.12</v>
      </c>
    </row>
    <row r="30" ht="20" customHeight="1">
      <c r="B30" s="20" t="n">
        <v>103350</v>
      </c>
      <c r="C30" s="20" t="n">
        <v>206700</v>
      </c>
      <c r="D30" s="21" t="n">
        <v>0.22</v>
      </c>
    </row>
    <row r="31" ht="20" customHeight="1">
      <c r="B31" s="20" t="n">
        <v>197300</v>
      </c>
      <c r="C31" s="20" t="n">
        <v>394600</v>
      </c>
      <c r="D31" s="21" t="n">
        <v>0.24</v>
      </c>
    </row>
    <row r="32" ht="20" customHeight="1">
      <c r="B32" s="20" t="n">
        <v>250525</v>
      </c>
      <c r="C32" s="20" t="n">
        <v>501050</v>
      </c>
      <c r="D32" s="21" t="n">
        <v>0.32</v>
      </c>
    </row>
    <row r="33" ht="20" customHeight="1">
      <c r="B33" s="20" t="n">
        <v>626350</v>
      </c>
      <c r="C33" s="20" t="n">
        <v>751600</v>
      </c>
      <c r="D33" s="21" t="n">
        <v>0.35</v>
      </c>
    </row>
    <row r="34" ht="20" customHeight="1">
      <c r="B34" s="20" t="n">
        <v>999999999</v>
      </c>
      <c r="C34" s="20" t="n">
        <v>999999999</v>
      </c>
      <c r="D34" s="21" t="n">
        <v>0.37</v>
      </c>
    </row>
    <row r="36" ht="36" customHeight="1">
      <c r="B36" s="22" t="inlineStr">
        <is>
          <t>HoH and MFS brackets aren't modeled separately — if you use those statuses, set filing status above to the closest match (HOH → MFJ for brackets, MFS → Single) and adjust the standard deduction. For complex returns, consult a CPA.</t>
        </is>
      </c>
    </row>
  </sheetData>
  <mergeCells count="8">
    <mergeCell ref="B11:D11"/>
    <mergeCell ref="B3:D3"/>
    <mergeCell ref="B5:D5"/>
    <mergeCell ref="B36:D36"/>
    <mergeCell ref="B26:D26"/>
    <mergeCell ref="B2:D2"/>
    <mergeCell ref="B16:D16"/>
    <mergeCell ref="B20:D20"/>
  </mergeCells>
  <dataValidations count="1">
    <dataValidation sqref="C7" showDropDown="0" showInputMessage="0" showErrorMessage="0" allowBlank="0" type="list">
      <formula1>"Single,MFJ,MFS,HOH"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25"/>
  <sheetViews>
    <sheetView showGridLines="0" zoomScale="11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2" ht="32" customHeight="1">
      <c r="B2" s="14" t="inlineStr">
        <is>
          <t>Income Forecast</t>
        </is>
      </c>
    </row>
    <row r="3">
      <c r="B3" s="15" t="inlineStr">
        <is>
          <t>Net self-employment income per month (gross minus deductions like mileage). Add platforms in row 5 — up to 6 streams.</t>
        </is>
      </c>
    </row>
    <row r="4">
      <c r="B4" s="15" t="inlineStr">
        <is>
          <t>Hint: if you'd rather just enter one annual number, fill in "Estimated net SE income (annual)" on the Setup tab — that will override this forecast.</t>
        </is>
      </c>
    </row>
    <row r="5" ht="28" customHeight="1">
      <c r="B5" s="7" t="inlineStr">
        <is>
          <t>Month</t>
        </is>
      </c>
      <c r="C5" s="7" t="inlineStr">
        <is>
          <t>DoorDash</t>
        </is>
      </c>
      <c r="D5" s="7" t="inlineStr">
        <is>
          <t>Uber / Lyft</t>
        </is>
      </c>
      <c r="E5" s="7" t="inlineStr">
        <is>
          <t>Airbnb / STR</t>
        </is>
      </c>
      <c r="F5" s="7" t="inlineStr">
        <is>
          <t>Etsy / sales</t>
        </is>
      </c>
      <c r="G5" s="7" t="inlineStr">
        <is>
          <t>Freelance</t>
        </is>
      </c>
      <c r="H5" s="7" t="inlineStr">
        <is>
          <t>Other</t>
        </is>
      </c>
      <c r="I5" s="23" t="inlineStr">
        <is>
          <t>Total</t>
        </is>
      </c>
    </row>
    <row r="6" ht="22" customHeight="1">
      <c r="B6" s="9" t="inlineStr">
        <is>
          <t>January</t>
        </is>
      </c>
      <c r="C6" s="20" t="n">
        <v>0</v>
      </c>
      <c r="D6" s="20" t="n">
        <v>0</v>
      </c>
      <c r="E6" s="20" t="n">
        <v>0</v>
      </c>
      <c r="F6" s="20" t="n">
        <v>0</v>
      </c>
      <c r="G6" s="20" t="n">
        <v>0</v>
      </c>
      <c r="H6" s="20" t="n">
        <v>0</v>
      </c>
      <c r="I6" s="24">
        <f>SUM(C6:H6)</f>
        <v/>
      </c>
    </row>
    <row r="7" ht="22" customHeight="1">
      <c r="B7" s="9" t="inlineStr">
        <is>
          <t>February</t>
        </is>
      </c>
      <c r="C7" s="20" t="n">
        <v>0</v>
      </c>
      <c r="D7" s="20" t="n">
        <v>0</v>
      </c>
      <c r="E7" s="20" t="n">
        <v>0</v>
      </c>
      <c r="F7" s="20" t="n">
        <v>0</v>
      </c>
      <c r="G7" s="20" t="n">
        <v>0</v>
      </c>
      <c r="H7" s="20" t="n">
        <v>0</v>
      </c>
      <c r="I7" s="24">
        <f>SUM(C7:H7)</f>
        <v/>
      </c>
    </row>
    <row r="8" ht="22" customHeight="1">
      <c r="B8" s="9" t="inlineStr">
        <is>
          <t>March</t>
        </is>
      </c>
      <c r="C8" s="20" t="n">
        <v>0</v>
      </c>
      <c r="D8" s="20" t="n">
        <v>0</v>
      </c>
      <c r="E8" s="20" t="n">
        <v>0</v>
      </c>
      <c r="F8" s="20" t="n">
        <v>0</v>
      </c>
      <c r="G8" s="20" t="n">
        <v>0</v>
      </c>
      <c r="H8" s="20" t="n">
        <v>0</v>
      </c>
      <c r="I8" s="24">
        <f>SUM(C8:H8)</f>
        <v/>
      </c>
    </row>
    <row r="9" ht="22" customHeight="1">
      <c r="B9" s="9" t="inlineStr">
        <is>
          <t>April</t>
        </is>
      </c>
      <c r="C9" s="20" t="n">
        <v>0</v>
      </c>
      <c r="D9" s="20" t="n">
        <v>0</v>
      </c>
      <c r="E9" s="20" t="n">
        <v>0</v>
      </c>
      <c r="F9" s="20" t="n">
        <v>0</v>
      </c>
      <c r="G9" s="20" t="n">
        <v>0</v>
      </c>
      <c r="H9" s="20" t="n">
        <v>0</v>
      </c>
      <c r="I9" s="24">
        <f>SUM(C9:H9)</f>
        <v/>
      </c>
    </row>
    <row r="10" ht="22" customHeight="1">
      <c r="B10" s="9" t="inlineStr">
        <is>
          <t>May</t>
        </is>
      </c>
      <c r="C10" s="20" t="n">
        <v>0</v>
      </c>
      <c r="D10" s="20" t="n">
        <v>0</v>
      </c>
      <c r="E10" s="20" t="n">
        <v>0</v>
      </c>
      <c r="F10" s="20" t="n">
        <v>0</v>
      </c>
      <c r="G10" s="20" t="n">
        <v>0</v>
      </c>
      <c r="H10" s="20" t="n">
        <v>0</v>
      </c>
      <c r="I10" s="24">
        <f>SUM(C10:H10)</f>
        <v/>
      </c>
    </row>
    <row r="11" ht="22" customHeight="1">
      <c r="B11" s="9" t="inlineStr">
        <is>
          <t>June</t>
        </is>
      </c>
      <c r="C11" s="20" t="n">
        <v>0</v>
      </c>
      <c r="D11" s="20" t="n">
        <v>0</v>
      </c>
      <c r="E11" s="20" t="n">
        <v>0</v>
      </c>
      <c r="F11" s="20" t="n">
        <v>0</v>
      </c>
      <c r="G11" s="20" t="n">
        <v>0</v>
      </c>
      <c r="H11" s="20" t="n">
        <v>0</v>
      </c>
      <c r="I11" s="24">
        <f>SUM(C11:H11)</f>
        <v/>
      </c>
    </row>
    <row r="12" ht="22" customHeight="1">
      <c r="B12" s="9" t="inlineStr">
        <is>
          <t>July</t>
        </is>
      </c>
      <c r="C12" s="20" t="n">
        <v>0</v>
      </c>
      <c r="D12" s="20" t="n">
        <v>0</v>
      </c>
      <c r="E12" s="20" t="n">
        <v>0</v>
      </c>
      <c r="F12" s="20" t="n">
        <v>0</v>
      </c>
      <c r="G12" s="20" t="n">
        <v>0</v>
      </c>
      <c r="H12" s="20" t="n">
        <v>0</v>
      </c>
      <c r="I12" s="24">
        <f>SUM(C12:H12)</f>
        <v/>
      </c>
    </row>
    <row r="13" ht="22" customHeight="1">
      <c r="B13" s="9" t="inlineStr">
        <is>
          <t>August</t>
        </is>
      </c>
      <c r="C13" s="20" t="n">
        <v>0</v>
      </c>
      <c r="D13" s="20" t="n">
        <v>0</v>
      </c>
      <c r="E13" s="20" t="n">
        <v>0</v>
      </c>
      <c r="F13" s="20" t="n">
        <v>0</v>
      </c>
      <c r="G13" s="20" t="n">
        <v>0</v>
      </c>
      <c r="H13" s="20" t="n">
        <v>0</v>
      </c>
      <c r="I13" s="24">
        <f>SUM(C13:H13)</f>
        <v/>
      </c>
    </row>
    <row r="14" ht="22" customHeight="1">
      <c r="B14" s="9" t="inlineStr">
        <is>
          <t>September</t>
        </is>
      </c>
      <c r="C14" s="20" t="n">
        <v>0</v>
      </c>
      <c r="D14" s="20" t="n">
        <v>0</v>
      </c>
      <c r="E14" s="20" t="n">
        <v>0</v>
      </c>
      <c r="F14" s="20" t="n">
        <v>0</v>
      </c>
      <c r="G14" s="20" t="n">
        <v>0</v>
      </c>
      <c r="H14" s="20" t="n">
        <v>0</v>
      </c>
      <c r="I14" s="24">
        <f>SUM(C14:H14)</f>
        <v/>
      </c>
    </row>
    <row r="15" ht="22" customHeight="1">
      <c r="B15" s="9" t="inlineStr">
        <is>
          <t>October</t>
        </is>
      </c>
      <c r="C15" s="20" t="n">
        <v>0</v>
      </c>
      <c r="D15" s="20" t="n">
        <v>0</v>
      </c>
      <c r="E15" s="20" t="n">
        <v>0</v>
      </c>
      <c r="F15" s="20" t="n">
        <v>0</v>
      </c>
      <c r="G15" s="20" t="n">
        <v>0</v>
      </c>
      <c r="H15" s="20" t="n">
        <v>0</v>
      </c>
      <c r="I15" s="24">
        <f>SUM(C15:H15)</f>
        <v/>
      </c>
    </row>
    <row r="16" ht="22" customHeight="1">
      <c r="B16" s="9" t="inlineStr">
        <is>
          <t>November</t>
        </is>
      </c>
      <c r="C16" s="20" t="n">
        <v>0</v>
      </c>
      <c r="D16" s="20" t="n">
        <v>0</v>
      </c>
      <c r="E16" s="20" t="n">
        <v>0</v>
      </c>
      <c r="F16" s="20" t="n">
        <v>0</v>
      </c>
      <c r="G16" s="20" t="n">
        <v>0</v>
      </c>
      <c r="H16" s="20" t="n">
        <v>0</v>
      </c>
      <c r="I16" s="24">
        <f>SUM(C16:H16)</f>
        <v/>
      </c>
    </row>
    <row r="17" ht="22" customHeight="1">
      <c r="B17" s="9" t="inlineStr">
        <is>
          <t>December</t>
        </is>
      </c>
      <c r="C17" s="20" t="n">
        <v>0</v>
      </c>
      <c r="D17" s="20" t="n">
        <v>0</v>
      </c>
      <c r="E17" s="20" t="n">
        <v>0</v>
      </c>
      <c r="F17" s="20" t="n">
        <v>0</v>
      </c>
      <c r="G17" s="20" t="n">
        <v>0</v>
      </c>
      <c r="H17" s="20" t="n">
        <v>0</v>
      </c>
      <c r="I17" s="24">
        <f>SUM(C17:H17)</f>
        <v/>
      </c>
    </row>
    <row r="18" ht="30" customHeight="1">
      <c r="B18" s="25" t="inlineStr">
        <is>
          <t>Annual total</t>
        </is>
      </c>
      <c r="C18" s="19">
        <f>SUM(C6:C17)</f>
        <v/>
      </c>
      <c r="D18" s="19">
        <f>SUM(D6:D17)</f>
        <v/>
      </c>
      <c r="E18" s="19">
        <f>SUM(E6:E17)</f>
        <v/>
      </c>
      <c r="F18" s="19">
        <f>SUM(F6:F17)</f>
        <v/>
      </c>
      <c r="G18" s="19">
        <f>SUM(G6:G17)</f>
        <v/>
      </c>
      <c r="H18" s="19">
        <f>SUM(H6:H17)</f>
        <v/>
      </c>
      <c r="I18" s="19">
        <f>SUM(I6:I17)</f>
        <v/>
      </c>
    </row>
    <row r="20" ht="24" customHeight="1">
      <c r="B20" s="3" t="inlineStr">
        <is>
          <t>By quarter</t>
        </is>
      </c>
    </row>
    <row r="21" ht="24" customHeight="1">
      <c r="B21" s="7" t="inlineStr">
        <is>
          <t>Quarter</t>
        </is>
      </c>
      <c r="C21" s="7" t="inlineStr">
        <is>
          <t>Months</t>
        </is>
      </c>
      <c r="D21" s="7" t="inlineStr">
        <is>
          <t>Net SE income</t>
        </is>
      </c>
    </row>
    <row r="22" ht="22" customHeight="1">
      <c r="B22" s="8" t="inlineStr">
        <is>
          <t>Q1</t>
        </is>
      </c>
      <c r="C22" s="9" t="inlineStr">
        <is>
          <t>Jan–Mar</t>
        </is>
      </c>
      <c r="D22" s="26">
        <f>SUM(I6:I8)</f>
        <v/>
      </c>
    </row>
    <row r="23" ht="22" customHeight="1">
      <c r="B23" s="8" t="inlineStr">
        <is>
          <t>Q2</t>
        </is>
      </c>
      <c r="C23" s="9" t="inlineStr">
        <is>
          <t>Apr–May</t>
        </is>
      </c>
      <c r="D23" s="26">
        <f>SUM(I9:I10)</f>
        <v/>
      </c>
    </row>
    <row r="24" ht="22" customHeight="1">
      <c r="B24" s="8" t="inlineStr">
        <is>
          <t>Q3</t>
        </is>
      </c>
      <c r="C24" s="9" t="inlineStr">
        <is>
          <t>Jun–Aug</t>
        </is>
      </c>
      <c r="D24" s="26">
        <f>SUM(I11:I13)</f>
        <v/>
      </c>
    </row>
    <row r="25" ht="22" customHeight="1">
      <c r="B25" s="8" t="inlineStr">
        <is>
          <t>Q4</t>
        </is>
      </c>
      <c r="C25" s="9" t="inlineStr">
        <is>
          <t>Sep–Dec</t>
        </is>
      </c>
      <c r="D25" s="26">
        <f>SUM(I14:I17)</f>
        <v/>
      </c>
    </row>
  </sheetData>
  <mergeCells count="4">
    <mergeCell ref="B4:J4"/>
    <mergeCell ref="B3:J3"/>
    <mergeCell ref="B20:I20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4"/>
  <sheetViews>
    <sheetView showGridLines="0" zoomScale="11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8" customWidth="1" min="3" max="3"/>
    <col width="60" customWidth="1" min="4" max="4"/>
  </cols>
  <sheetData>
    <row r="2" ht="32" customHeight="1">
      <c r="B2" s="14" t="inlineStr">
        <is>
          <t>Tax Calculator</t>
        </is>
      </c>
    </row>
    <row r="3">
      <c r="B3" s="15" t="inlineStr">
        <is>
          <t>All numbers below are calculated — don't edit. To change inputs, use the Setup tab.</t>
        </is>
      </c>
    </row>
    <row r="5" ht="24" customHeight="1">
      <c r="B5" s="3" t="inlineStr">
        <is>
          <t>Self-employment income &amp; SE tax</t>
        </is>
      </c>
    </row>
    <row r="6" ht="22" customHeight="1">
      <c r="B6" s="16" t="inlineStr">
        <is>
          <t>Net SE income (this year)</t>
        </is>
      </c>
      <c r="C6" s="24">
        <f>IF(SEOverride&gt;0,SEOverride,AnnualSEForecast)</f>
        <v/>
      </c>
      <c r="D6" s="15" t="inlineStr">
        <is>
          <t>From Setup override if filled; otherwise the Income Forecast annual total</t>
        </is>
      </c>
    </row>
    <row r="7" ht="22" customHeight="1">
      <c r="B7" s="16" t="inlineStr">
        <is>
          <t>× 92.35% (SE tax base)</t>
        </is>
      </c>
      <c r="C7" s="24">
        <f>'Tax Calculator'!$C$6*0.9235</f>
        <v/>
      </c>
      <c r="D7" s="15" t="inlineStr">
        <is>
          <t>The IRS taxes 92.35% of SE income for Social Security &amp; Medicare</t>
        </is>
      </c>
    </row>
    <row r="8" ht="22" customHeight="1">
      <c r="B8" s="16" t="inlineStr">
        <is>
          <t>Social Security portion of SE tax (12.4% up to wage base)</t>
        </is>
      </c>
      <c r="C8" s="24">
        <f>MIN('Tax Calculator'!$C$7,SSWageBase)*0.124</f>
        <v/>
      </c>
      <c r="D8" s="15" t="inlineStr">
        <is>
          <t>Stops at the SS wage base (set on Setup tab)</t>
        </is>
      </c>
    </row>
    <row r="9" ht="22" customHeight="1">
      <c r="B9" s="16" t="inlineStr">
        <is>
          <t>Medicare portion of SE tax (2.9%)</t>
        </is>
      </c>
      <c r="C9" s="24">
        <f>'Tax Calculator'!$C$7*0.029</f>
        <v/>
      </c>
      <c r="D9" s="15" t="inlineStr">
        <is>
          <t>No income cap on Medicare</t>
        </is>
      </c>
    </row>
    <row r="10" ht="26" customHeight="1">
      <c r="B10" s="27" t="inlineStr">
        <is>
          <t>Total SE tax</t>
        </is>
      </c>
      <c r="C10" s="28">
        <f>'Tax Calculator'!$C$8+'Tax Calculator'!$C$9</f>
        <v/>
      </c>
      <c r="D10" s="15" t="inlineStr">
        <is>
          <t>Sum of Social Security + Medicare</t>
        </is>
      </c>
    </row>
    <row r="11" ht="22" customHeight="1">
      <c r="B11" s="16" t="inlineStr">
        <is>
          <t>Deductible half of SE tax</t>
        </is>
      </c>
      <c r="C11" s="24">
        <f>'Tax Calculator'!$C$10/2</f>
        <v/>
      </c>
      <c r="D11" s="15" t="inlineStr">
        <is>
          <t>Half of SE tax reduces your AGI (it's an above-the-line deduction)</t>
        </is>
      </c>
    </row>
    <row r="13" ht="24" customHeight="1">
      <c r="B13" s="3" t="inlineStr">
        <is>
          <t>Federal income tax</t>
        </is>
      </c>
    </row>
    <row r="14" ht="22" customHeight="1">
      <c r="B14" s="16" t="inlineStr">
        <is>
          <t>AGI (W-2 + net SE − half SE tax)</t>
        </is>
      </c>
      <c r="C14" s="24">
        <f>W2Income+'Tax Calculator'!$C$6-'Tax Calculator'!$C$11</f>
        <v/>
      </c>
      <c r="D14" s="15" t="inlineStr">
        <is>
          <t>Adjusted Gross Income — the number tax brackets apply to (after standard deduction)</t>
        </is>
      </c>
    </row>
    <row r="15" ht="22" customHeight="1">
      <c r="B15" s="16" t="inlineStr">
        <is>
          <t>Standard deduction (based on filing status)</t>
        </is>
      </c>
      <c r="C15" s="24">
        <f>IF(FilingStatus="MFJ",StdDedMFJ,IF(FilingStatus="HOH",StdDedHOH,StdDedSingle))</f>
        <v/>
      </c>
      <c r="D15" s="15" t="inlineStr">
        <is>
          <t>Auto-picks the right standard deduction; MFS uses Single</t>
        </is>
      </c>
    </row>
    <row r="16" ht="22" customHeight="1">
      <c r="B16" s="16" t="inlineStr">
        <is>
          <t>Taxable income</t>
        </is>
      </c>
      <c r="C16" s="24">
        <f>MAX('Tax Calculator'!$C$14-'Tax Calculator'!$C$15,0)</f>
        <v/>
      </c>
      <c r="D16" s="15" t="inlineStr">
        <is>
          <t>AGI minus standard deduction (we don't model QBI or itemized — see CPA if relevant)</t>
        </is>
      </c>
    </row>
    <row r="17" ht="26" customHeight="1">
      <c r="B17" s="27" t="inlineStr">
        <is>
          <t>Federal income tax (bracket calc)</t>
        </is>
      </c>
      <c r="C17" s="28">
        <f>IF(FilingStatus="MFJ",SUMPRODUCT(((MIN('Tax Calculator'!$C$16,BracketsMFJ)-IFERROR(OFFSET(BracketsMFJ,-1,0),0))&gt;0)*(MIN('Tax Calculator'!$C$16,BracketsMFJ)-IFERROR(OFFSET(BracketsMFJ,-1,0),0))*BracketsRate),SUMPRODUCT(((MIN('Tax Calculator'!$C$16,BracketsSingle)-IFERROR(OFFSET(BracketsSingle,-1,0),0))&gt;0)*(MIN('Tax Calculator'!$C$16,BracketsSingle)-IFERROR(OFFSET(BracketsSingle,-1,0),0))*BracketsRate))</f>
        <v/>
      </c>
      <c r="D17" s="15" t="inlineStr">
        <is>
          <t>Applied bracket-by-bracket to your taxable income</t>
        </is>
      </c>
    </row>
    <row r="19" ht="24" customHeight="1">
      <c r="B19" s="3" t="inlineStr">
        <is>
          <t>State tax &amp; totals</t>
        </is>
      </c>
    </row>
    <row r="20" ht="26" customHeight="1">
      <c r="B20" s="27" t="inlineStr">
        <is>
          <t>State income tax (flat rate × taxable income)</t>
        </is>
      </c>
      <c r="C20" s="28">
        <f>'Tax Calculator'!$C$16*StateRate</f>
        <v/>
      </c>
      <c r="D20" s="15" t="inlineStr">
        <is>
          <t>Rough estimate — actual state tax varies by bracket. Override the rate on Setup if you have a better number.</t>
        </is>
      </c>
    </row>
    <row r="21" ht="22" customHeight="1">
      <c r="B21" s="16" t="inlineStr">
        <is>
          <t>Total federal owed (SE + income)</t>
        </is>
      </c>
      <c r="C21" s="24">
        <f>'Tax Calculator'!$C$10+'Tax Calculator'!$C$17</f>
        <v/>
      </c>
      <c r="D21" s="15" t="inlineStr">
        <is>
          <t>What you owe the IRS this year, before W-2 withholding</t>
        </is>
      </c>
    </row>
    <row r="22" ht="22" customHeight="1">
      <c r="B22" s="16" t="inlineStr">
        <is>
          <t>Less: W-2 federal withholding</t>
        </is>
      </c>
      <c r="C22" s="24">
        <f>-W2Withheld</f>
        <v/>
      </c>
      <c r="D22" s="15" t="inlineStr">
        <is>
          <t>Subtracts what your employer already sent in for you</t>
        </is>
      </c>
    </row>
    <row r="23" ht="26" customHeight="1">
      <c r="B23" s="27">
        <f> Net federal owed (quarterly target)</f>
        <v/>
      </c>
      <c r="C23" s="28">
        <f>'Tax Calculator'!$C$21-W2Withheld</f>
        <v/>
      </c>
      <c r="D23" s="15" t="inlineStr">
        <is>
          <t>Divide this by 4 to get your quarterly federal payment</t>
        </is>
      </c>
    </row>
    <row r="24" ht="26" customHeight="1">
      <c r="B24" s="27" t="inlineStr">
        <is>
          <t>Total state owed (quarterly target)</t>
        </is>
      </c>
      <c r="C24" s="28">
        <f>'Tax Calculator'!$C$20</f>
        <v/>
      </c>
      <c r="D24" s="15" t="inlineStr">
        <is>
          <t>Divide this by 4 to get your quarterly state payment</t>
        </is>
      </c>
    </row>
  </sheetData>
  <mergeCells count="5">
    <mergeCell ref="B3:D3"/>
    <mergeCell ref="B19:D19"/>
    <mergeCell ref="B5:D5"/>
    <mergeCell ref="B13:D13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0"/>
  <sheetViews>
    <sheetView showGridLines="0" zoomScale="11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</cols>
  <sheetData>
    <row r="2" ht="32" customHeight="1">
      <c r="B2" s="14" t="inlineStr">
        <is>
          <t>Quarterly Payments</t>
        </is>
      </c>
    </row>
    <row r="3">
      <c r="B3" s="15" t="inlineStr">
        <is>
          <t>Log each payment after you make it. Status colors track whether you're on pace to hit your annual target.</t>
        </is>
      </c>
    </row>
    <row r="5" ht="24" customHeight="1">
      <c r="B5" s="3" t="inlineStr">
        <is>
          <t>Federal (IRS)</t>
        </is>
      </c>
    </row>
    <row r="6" ht="24" customHeight="1">
      <c r="B6" s="29" t="inlineStr">
        <is>
          <t>Q</t>
        </is>
      </c>
      <c r="C6" s="29" t="inlineStr">
        <is>
          <t>Due date</t>
        </is>
      </c>
      <c r="D6" s="29" t="inlineStr">
        <is>
          <t>Target $</t>
        </is>
      </c>
      <c r="E6" s="29" t="inlineStr">
        <is>
          <t>Paid date</t>
        </is>
      </c>
      <c r="F6" s="29" t="inlineStr">
        <is>
          <t>Paid $</t>
        </is>
      </c>
      <c r="G6" s="29" t="inlineStr">
        <is>
          <t>Method</t>
        </is>
      </c>
      <c r="H6" s="29" t="inlineStr">
        <is>
          <t>Status</t>
        </is>
      </c>
    </row>
    <row r="7" ht="24" customHeight="1">
      <c r="B7" s="8" t="inlineStr">
        <is>
          <t>Q1</t>
        </is>
      </c>
      <c r="C7" s="9" t="inlineStr">
        <is>
          <t>April 15</t>
        </is>
      </c>
      <c r="D7" s="24">
        <f>NetFedOwed/4</f>
        <v/>
      </c>
      <c r="E7" s="30" t="n"/>
      <c r="F7" s="20" t="n"/>
      <c r="G7" s="31" t="n"/>
      <c r="H7" s="10">
        <f>IF(F7="","Not paid yet",IF(F7&gt;=D7*0.95,"On track","Underpaid by $"&amp;TEXT(D7-F7,"#,##0")))</f>
        <v/>
      </c>
    </row>
    <row r="8" ht="24" customHeight="1">
      <c r="B8" s="8" t="inlineStr">
        <is>
          <t>Q2</t>
        </is>
      </c>
      <c r="C8" s="9" t="inlineStr">
        <is>
          <t>June 15</t>
        </is>
      </c>
      <c r="D8" s="24">
        <f>NetFedOwed/4</f>
        <v/>
      </c>
      <c r="E8" s="30" t="n"/>
      <c r="F8" s="20" t="n"/>
      <c r="G8" s="31" t="n"/>
      <c r="H8" s="10">
        <f>IF(F8="","Not paid yet",IF(F8&gt;=D8*0.95,"On track","Underpaid by $"&amp;TEXT(D8-F8,"#,##0")))</f>
        <v/>
      </c>
    </row>
    <row r="9" ht="24" customHeight="1">
      <c r="B9" s="8" t="inlineStr">
        <is>
          <t>Q3</t>
        </is>
      </c>
      <c r="C9" s="9" t="inlineStr">
        <is>
          <t>September 15</t>
        </is>
      </c>
      <c r="D9" s="24">
        <f>NetFedOwed/4</f>
        <v/>
      </c>
      <c r="E9" s="30" t="n"/>
      <c r="F9" s="20" t="n"/>
      <c r="G9" s="31" t="n"/>
      <c r="H9" s="10">
        <f>IF(F9="","Not paid yet",IF(F9&gt;=D9*0.95,"On track","Underpaid by $"&amp;TEXT(D9-F9,"#,##0")))</f>
        <v/>
      </c>
    </row>
    <row r="10" ht="24" customHeight="1">
      <c r="B10" s="8" t="inlineStr">
        <is>
          <t>Q4</t>
        </is>
      </c>
      <c r="C10" s="9" t="inlineStr">
        <is>
          <t>January 15</t>
        </is>
      </c>
      <c r="D10" s="24">
        <f>NetFedOwed/4</f>
        <v/>
      </c>
      <c r="E10" s="30" t="n"/>
      <c r="F10" s="20" t="n"/>
      <c r="G10" s="31" t="n"/>
      <c r="H10" s="10">
        <f>IF(F10="","Not paid yet",IF(F10&gt;=D10*0.95,"On track","Underpaid by $"&amp;TEXT(D10-F10,"#,##0")))</f>
        <v/>
      </c>
    </row>
    <row r="11" ht="28" customHeight="1">
      <c r="B11" s="25" t="inlineStr">
        <is>
          <t>Total</t>
        </is>
      </c>
      <c r="C11" s="32" t="n"/>
      <c r="D11" s="19">
        <f>SUM(D7:D10)</f>
        <v/>
      </c>
      <c r="F11" s="19">
        <f>SUM(F7:F10)</f>
        <v/>
      </c>
      <c r="H11" s="25">
        <f>IF(F11&gt;=D11*0.95,"Annual target met","Short $"&amp;TEXT(D11-F11,"#,##0"))</f>
        <v/>
      </c>
    </row>
    <row r="14" ht="24" customHeight="1">
      <c r="B14" s="3" t="inlineStr">
        <is>
          <t>State</t>
        </is>
      </c>
    </row>
    <row r="15" ht="24" customHeight="1">
      <c r="B15" s="29" t="inlineStr">
        <is>
          <t>Q</t>
        </is>
      </c>
      <c r="C15" s="29" t="inlineStr">
        <is>
          <t>Due date</t>
        </is>
      </c>
      <c r="D15" s="29" t="inlineStr">
        <is>
          <t>Target $</t>
        </is>
      </c>
      <c r="E15" s="29" t="inlineStr">
        <is>
          <t>Paid date</t>
        </is>
      </c>
      <c r="F15" s="29" t="inlineStr">
        <is>
          <t>Paid $</t>
        </is>
      </c>
      <c r="G15" s="29" t="inlineStr">
        <is>
          <t>Method</t>
        </is>
      </c>
      <c r="H15" s="29" t="inlineStr">
        <is>
          <t>Status</t>
        </is>
      </c>
    </row>
    <row r="16" ht="24" customHeight="1">
      <c r="B16" s="8" t="inlineStr">
        <is>
          <t>Q1</t>
        </is>
      </c>
      <c r="C16" s="9" t="inlineStr">
        <is>
          <t>April 15</t>
        </is>
      </c>
      <c r="D16" s="24">
        <f>NetStateOwed/4</f>
        <v/>
      </c>
      <c r="E16" s="30" t="n"/>
      <c r="F16" s="20" t="n"/>
      <c r="G16" s="31" t="n"/>
      <c r="H16" s="10">
        <f>IF(F16="","Not paid yet",IF(F16&gt;=D16*0.95,"On track","Underpaid by $"&amp;TEXT(D16-F16,"#,##0")))</f>
        <v/>
      </c>
    </row>
    <row r="17" ht="24" customHeight="1">
      <c r="B17" s="8" t="inlineStr">
        <is>
          <t>Q2</t>
        </is>
      </c>
      <c r="C17" s="9" t="inlineStr">
        <is>
          <t>June 15</t>
        </is>
      </c>
      <c r="D17" s="24">
        <f>NetStateOwed/4</f>
        <v/>
      </c>
      <c r="E17" s="30" t="n"/>
      <c r="F17" s="20" t="n"/>
      <c r="G17" s="31" t="n"/>
      <c r="H17" s="10">
        <f>IF(F17="","Not paid yet",IF(F17&gt;=D17*0.95,"On track","Underpaid by $"&amp;TEXT(D17-F17,"#,##0")))</f>
        <v/>
      </c>
    </row>
    <row r="18" ht="24" customHeight="1">
      <c r="B18" s="8" t="inlineStr">
        <is>
          <t>Q3</t>
        </is>
      </c>
      <c r="C18" s="9" t="inlineStr">
        <is>
          <t>September 15</t>
        </is>
      </c>
      <c r="D18" s="24">
        <f>NetStateOwed/4</f>
        <v/>
      </c>
      <c r="E18" s="30" t="n"/>
      <c r="F18" s="20" t="n"/>
      <c r="G18" s="31" t="n"/>
      <c r="H18" s="10">
        <f>IF(F18="","Not paid yet",IF(F18&gt;=D18*0.95,"On track","Underpaid by $"&amp;TEXT(D18-F18,"#,##0")))</f>
        <v/>
      </c>
    </row>
    <row r="19" ht="24" customHeight="1">
      <c r="B19" s="8" t="inlineStr">
        <is>
          <t>Q4</t>
        </is>
      </c>
      <c r="C19" s="9" t="inlineStr">
        <is>
          <t>January 15</t>
        </is>
      </c>
      <c r="D19" s="24">
        <f>NetStateOwed/4</f>
        <v/>
      </c>
      <c r="E19" s="30" t="n"/>
      <c r="F19" s="20" t="n"/>
      <c r="G19" s="31" t="n"/>
      <c r="H19" s="10">
        <f>IF(F19="","Not paid yet",IF(F19&gt;=D19*0.95,"On track","Underpaid by $"&amp;TEXT(D19-F19,"#,##0")))</f>
        <v/>
      </c>
    </row>
    <row r="20" ht="28" customHeight="1">
      <c r="B20" s="25" t="inlineStr">
        <is>
          <t>Total</t>
        </is>
      </c>
      <c r="C20" s="32" t="n"/>
      <c r="D20" s="19">
        <f>SUM(D16:D19)</f>
        <v/>
      </c>
      <c r="F20" s="19">
        <f>SUM(F16:F19)</f>
        <v/>
      </c>
    </row>
  </sheetData>
  <mergeCells count="6">
    <mergeCell ref="B14:H14"/>
    <mergeCell ref="B11:C11"/>
    <mergeCell ref="B20:C20"/>
    <mergeCell ref="B2:H2"/>
    <mergeCell ref="B3:H3"/>
    <mergeCell ref="B5:H5"/>
  </mergeCells>
  <conditionalFormatting sqref="H7">
    <cfRule type="expression" priority="1" dxfId="0">
      <formula>ISNUMBER(SEARCH("On track",H7))</formula>
    </cfRule>
    <cfRule type="expression" priority="2" dxfId="1">
      <formula>ISNUMBER(SEARCH("Not paid",H7))</formula>
    </cfRule>
    <cfRule type="expression" priority="3" dxfId="2">
      <formula>ISNUMBER(SEARCH("Underpaid",H7))</formula>
    </cfRule>
  </conditionalFormatting>
  <conditionalFormatting sqref="H8">
    <cfRule type="expression" priority="4" dxfId="0">
      <formula>ISNUMBER(SEARCH("On track",H8))</formula>
    </cfRule>
    <cfRule type="expression" priority="5" dxfId="1">
      <formula>ISNUMBER(SEARCH("Not paid",H8))</formula>
    </cfRule>
    <cfRule type="expression" priority="6" dxfId="2">
      <formula>ISNUMBER(SEARCH("Underpaid",H8))</formula>
    </cfRule>
  </conditionalFormatting>
  <conditionalFormatting sqref="H9">
    <cfRule type="expression" priority="7" dxfId="0">
      <formula>ISNUMBER(SEARCH("On track",H9))</formula>
    </cfRule>
    <cfRule type="expression" priority="8" dxfId="1">
      <formula>ISNUMBER(SEARCH("Not paid",H9))</formula>
    </cfRule>
    <cfRule type="expression" priority="9" dxfId="2">
      <formula>ISNUMBER(SEARCH("Underpaid",H9))</formula>
    </cfRule>
  </conditionalFormatting>
  <conditionalFormatting sqref="H10">
    <cfRule type="expression" priority="10" dxfId="0">
      <formula>ISNUMBER(SEARCH("On track",H10))</formula>
    </cfRule>
    <cfRule type="expression" priority="11" dxfId="1">
      <formula>ISNUMBER(SEARCH("Not paid",H10))</formula>
    </cfRule>
    <cfRule type="expression" priority="12" dxfId="2">
      <formula>ISNUMBER(SEARCH("Underpaid",H10))</formula>
    </cfRule>
  </conditionalFormatting>
  <conditionalFormatting sqref="H11">
    <cfRule type="expression" priority="13" dxfId="0">
      <formula>ISNUMBER(SEARCH("met",H11))</formula>
    </cfRule>
    <cfRule type="expression" priority="14" dxfId="2">
      <formula>ISNUMBER(SEARCH("Short",H11))</formula>
    </cfRule>
  </conditionalFormatting>
  <conditionalFormatting sqref="H16">
    <cfRule type="expression" priority="15" dxfId="0">
      <formula>ISNUMBER(SEARCH("On track",H16))</formula>
    </cfRule>
    <cfRule type="expression" priority="16" dxfId="1">
      <formula>ISNUMBER(SEARCH("Not paid",H16))</formula>
    </cfRule>
    <cfRule type="expression" priority="17" dxfId="2">
      <formula>ISNUMBER(SEARCH("Underpaid",H16))</formula>
    </cfRule>
  </conditionalFormatting>
  <conditionalFormatting sqref="H17">
    <cfRule type="expression" priority="18" dxfId="0">
      <formula>ISNUMBER(SEARCH("On track",H17))</formula>
    </cfRule>
    <cfRule type="expression" priority="19" dxfId="1">
      <formula>ISNUMBER(SEARCH("Not paid",H17))</formula>
    </cfRule>
    <cfRule type="expression" priority="20" dxfId="2">
      <formula>ISNUMBER(SEARCH("Underpaid",H17))</formula>
    </cfRule>
  </conditionalFormatting>
  <conditionalFormatting sqref="H18">
    <cfRule type="expression" priority="21" dxfId="0">
      <formula>ISNUMBER(SEARCH("On track",H18))</formula>
    </cfRule>
    <cfRule type="expression" priority="22" dxfId="1">
      <formula>ISNUMBER(SEARCH("Not paid",H18))</formula>
    </cfRule>
    <cfRule type="expression" priority="23" dxfId="2">
      <formula>ISNUMBER(SEARCH("Underpaid",H18))</formula>
    </cfRule>
  </conditionalFormatting>
  <conditionalFormatting sqref="H19">
    <cfRule type="expression" priority="24" dxfId="0">
      <formula>ISNUMBER(SEARCH("On track",H19))</formula>
    </cfRule>
    <cfRule type="expression" priority="25" dxfId="1">
      <formula>ISNUMBER(SEARCH("Not paid",H19))</formula>
    </cfRule>
    <cfRule type="expression" priority="26" dxfId="2">
      <formula>ISNUMBER(SEARCH("Underpaid",H19))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20"/>
  <sheetViews>
    <sheetView showGridLines="0" zoomScale="110"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20" customWidth="1" min="3" max="3"/>
    <col width="45" customWidth="1" min="4" max="4"/>
  </cols>
  <sheetData>
    <row r="2" ht="32" customHeight="1">
      <c r="B2" s="14" t="inlineStr">
        <is>
          <t>Safe Harbor Check</t>
        </is>
      </c>
    </row>
    <row r="3">
      <c r="B3" s="15" t="inlineStr">
        <is>
          <t>The IRS won't charge you an underpayment penalty if you hit EITHER of these two safe-harbor tests. You only need ONE.</t>
        </is>
      </c>
    </row>
    <row r="5" ht="24" customHeight="1">
      <c r="B5" s="3" t="inlineStr">
        <is>
          <t>Safe Harbor 1 — based on last year's tax</t>
        </is>
      </c>
    </row>
    <row r="6" ht="22" customHeight="1">
      <c r="B6" s="16" t="inlineStr">
        <is>
          <t>Required multiplier (110% if last year AGI &gt; $150K, else 100%)</t>
        </is>
      </c>
      <c r="C6" s="33">
        <f>IF(LastYearAGI&gt;150000,1.1,1)</f>
        <v/>
      </c>
      <c r="D6" s="15" t="inlineStr">
        <is>
          <t>The 110% rule kicks in for higher earners</t>
        </is>
      </c>
    </row>
    <row r="7" ht="26" customHeight="1">
      <c r="B7" s="27" t="inlineStr">
        <is>
          <t>Safe harbor target (last year's tax × multiplier)</t>
        </is>
      </c>
      <c r="C7" s="19">
        <f>LastYearTax*C6</f>
        <v/>
      </c>
      <c r="D7" s="15" t="inlineStr">
        <is>
          <t>If you pay AT LEAST this much across all 4 quarters + W-2 withholding, you're safe</t>
        </is>
      </c>
    </row>
    <row r="8" ht="22" customHeight="1">
      <c r="B8" s="16" t="inlineStr">
        <is>
          <t>Paid so far (Q1–Q4 federal + W-2 withholding)</t>
        </is>
      </c>
      <c r="C8" s="24">
        <f>FedPaidYTD+W2Withheld</f>
        <v/>
      </c>
      <c r="D8" s="15" t="inlineStr">
        <is>
          <t>From Quarterly Payments tab + W-2 withholding on Setup</t>
        </is>
      </c>
    </row>
    <row r="9" ht="32" customHeight="1">
      <c r="B9" s="27" t="inlineStr">
        <is>
          <t>Safe Harbor 1 status:</t>
        </is>
      </c>
      <c r="C9" s="34">
        <f>IF(C8&gt;=C7,"✓ SAFE","Short $"&amp;TEXT(C7-C8,"#,##0"))</f>
        <v/>
      </c>
    </row>
    <row r="11" ht="24" customHeight="1">
      <c r="B11" s="3" t="inlineStr">
        <is>
          <t>Safe Harbor 2 — based on this year's tax</t>
        </is>
      </c>
    </row>
    <row r="12" ht="22" customHeight="1">
      <c r="B12" s="16" t="inlineStr">
        <is>
          <t>This year's projected total federal tax</t>
        </is>
      </c>
      <c r="C12" s="24">
        <f>TotalFedTax</f>
        <v/>
      </c>
      <c r="D12" s="15" t="inlineStr">
        <is>
          <t>From Tax Calculator</t>
        </is>
      </c>
    </row>
    <row r="13" ht="26" customHeight="1">
      <c r="B13" s="27" t="inlineStr">
        <is>
          <t>Safe harbor target (90% of this year's tax)</t>
        </is>
      </c>
      <c r="C13" s="19">
        <f>C12*0.9</f>
        <v/>
      </c>
      <c r="D13" s="15" t="inlineStr">
        <is>
          <t>If you pay at least 90% of what you'll actually owe, you're safe</t>
        </is>
      </c>
    </row>
    <row r="14" ht="22" customHeight="1">
      <c r="B14" s="16" t="inlineStr">
        <is>
          <t>Paid so far (Q1–Q4 federal + W-2 withholding)</t>
        </is>
      </c>
      <c r="C14" s="24">
        <f>FedPaidYTD+W2Withheld</f>
        <v/>
      </c>
      <c r="D14" s="15" t="inlineStr">
        <is>
          <t>Same total as Safe Harbor 1</t>
        </is>
      </c>
    </row>
    <row r="15" ht="32" customHeight="1">
      <c r="B15" s="27" t="inlineStr">
        <is>
          <t>Safe Harbor 2 status:</t>
        </is>
      </c>
      <c r="C15" s="34">
        <f>IF(C14&gt;=C13,"✓ SAFE","Short $"&amp;TEXT(C13-C14,"#,##0"))</f>
        <v/>
      </c>
    </row>
    <row r="17" ht="24" customHeight="1">
      <c r="B17" s="3" t="inlineStr">
        <is>
          <t>Are you penalty-safe?</t>
        </is>
      </c>
    </row>
    <row r="18" ht="38" customHeight="1">
      <c r="B18" s="27" t="inlineStr">
        <is>
          <t>Overall status:</t>
        </is>
      </c>
      <c r="C18" s="34">
        <f>IF(OR(C8&gt;=C7,C14&gt;=C13),"✓ YES — you're safe from penalty","⚠ Not yet — close one of the gaps above")</f>
        <v/>
      </c>
    </row>
    <row r="20" ht="70" customHeight="1">
      <c r="B20" s="4" t="inlineStr">
        <is>
          <t>You only need to satisfy ONE of the two tests to avoid the underpayment penalty. Most side hustlers hit Safe Harbor 1 because it's easier — you just need to pay last year's tax bill across four equal quarters. Safe Harbor 2 is for years when your income drops significantly.</t>
        </is>
      </c>
    </row>
  </sheetData>
  <mergeCells count="6">
    <mergeCell ref="B11:D11"/>
    <mergeCell ref="B3:D3"/>
    <mergeCell ref="B5:D5"/>
    <mergeCell ref="B17:D17"/>
    <mergeCell ref="B2:D2"/>
    <mergeCell ref="B20:D20"/>
  </mergeCells>
  <conditionalFormatting sqref="C9">
    <cfRule type="expression" priority="1" dxfId="3">
      <formula>ISNUMBER(SEARCH("SAFE",C9))</formula>
    </cfRule>
    <cfRule type="expression" priority="2" dxfId="4">
      <formula>ISNUMBER(SEARCH("Short",C9))</formula>
    </cfRule>
  </conditionalFormatting>
  <conditionalFormatting sqref="C15">
    <cfRule type="expression" priority="3" dxfId="3">
      <formula>ISNUMBER(SEARCH("SAFE",C15))</formula>
    </cfRule>
    <cfRule type="expression" priority="4" dxfId="4">
      <formula>ISNUMBER(SEARCH("Short",C15))</formula>
    </cfRule>
  </conditionalFormatting>
  <conditionalFormatting sqref="C18">
    <cfRule type="expression" priority="5" dxfId="3">
      <formula>ISNUMBER(SEARCH("YES",C18))</formula>
    </cfRule>
    <cfRule type="expression" priority="6" dxfId="5">
      <formula>ISNUMBER(SEARCH("Not yet",C18))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C33"/>
  <sheetViews>
    <sheetView showGridLines="0" zoomScale="11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70" customWidth="1" min="3" max="3"/>
  </cols>
  <sheetData>
    <row r="2" ht="32" customHeight="1">
      <c r="B2" s="14" t="inlineStr">
        <is>
          <t>IRS &amp; State Quarterly Tax Reference</t>
        </is>
      </c>
    </row>
    <row r="3">
      <c r="B3" s="15" t="inlineStr">
        <is>
          <t>Plain-English answers to what gets people in trouble.</t>
        </is>
      </c>
    </row>
    <row r="5" ht="22" customHeight="1">
      <c r="B5" s="35" t="inlineStr">
        <is>
          <t>Q</t>
        </is>
      </c>
      <c r="C5" s="27" t="inlineStr">
        <is>
          <t>Where do I actually pay federal quarterly tax?</t>
        </is>
      </c>
    </row>
    <row r="6" ht="70" customHeight="1">
      <c r="C6" s="4" t="inlineStr">
        <is>
          <t>Three options. (1) IRS Direct Pay — irs.gov/payments/direct-pay — free, takes 2 minutes, pulls from a bank account. (2) EFTPS — eftps.gov — also free, requires a one-time enrollment, better if you want a permanent payment history. (3) Mail a check with Form 1040-ES voucher to the IRS address listed on the form for your state. Direct Pay is the easiest for almost everyone.</t>
        </is>
      </c>
    </row>
    <row r="8" ht="22" customHeight="1">
      <c r="B8" s="35" t="inlineStr">
        <is>
          <t>Q</t>
        </is>
      </c>
      <c r="C8" s="27" t="inlineStr">
        <is>
          <t>Do I need to file Form 1040-ES?</t>
        </is>
      </c>
    </row>
    <row r="9" ht="70" customHeight="1">
      <c r="C9" s="4" t="inlineStr">
        <is>
          <t>Technically no — Form 1040-ES is the paper voucher you mail with a check. If you pay electronically via Direct Pay or EFTPS, you don't file anything; the payment IS the filing. Just keep your confirmation number with your tax records.</t>
        </is>
      </c>
    </row>
    <row r="11" ht="22" customHeight="1">
      <c r="B11" s="35" t="inlineStr">
        <is>
          <t>Q</t>
        </is>
      </c>
      <c r="C11" s="27" t="inlineStr">
        <is>
          <t>How does the state work?</t>
        </is>
      </c>
    </row>
    <row r="12" ht="70" customHeight="1">
      <c r="C12" s="4" t="inlineStr">
        <is>
          <t>Every state with income tax has its own quarterly system. Most (CA, NY, IL, etc.) mirror the federal due dates. Search "[your state] estimated tax payments" — usually it's a one-page payment portal on your state's revenue/tax department site. California is FTB Web Pay. New York is the IT-2105 voucher or online via NY.gov. Texas, Florida, Washington, Nevada, Tennessee, South Dakota, Wyoming, Alaska, and New Hampshire have no state income tax — skip this entirely.</t>
        </is>
      </c>
    </row>
    <row r="14" ht="22" customHeight="1">
      <c r="B14" s="35" t="inlineStr">
        <is>
          <t>Q</t>
        </is>
      </c>
      <c r="C14" s="27" t="inlineStr">
        <is>
          <t>What if my income is uneven across the year?</t>
        </is>
      </c>
    </row>
    <row r="15" ht="70" customHeight="1">
      <c r="C15" s="4" t="inlineStr">
        <is>
          <t>You can use the "annualized income installment method" (Form 2210, Schedule AI) to pay less in slow quarters and more in busy ones — but it's a pain. Most people just pay equal quarters using Safe Harbor 1 (100% / 110% of last year's tax), which doesn't care when the income actually comes in.</t>
        </is>
      </c>
    </row>
    <row r="17" ht="22" customHeight="1">
      <c r="B17" s="35" t="inlineStr">
        <is>
          <t>Q</t>
        </is>
      </c>
      <c r="C17" s="27" t="inlineStr">
        <is>
          <t>What's the actual penalty if I skip a quarter?</t>
        </is>
      </c>
    </row>
    <row r="18" ht="70" customHeight="1">
      <c r="C18" s="4" t="inlineStr">
        <is>
          <t>The IRS charges the federal short-term rate + 3% on the underpaid amount, calculated quarterly. In 2025 that worked out to ~8% annualized. So if you should have paid $3,000 for Q1 and didn't, by April you owe an extra ~$60. Skip all four quarters on a $15K bill and you're looking at $400-$800 in penalties. The penalty is non-deductible — pure waste.</t>
        </is>
      </c>
    </row>
    <row r="20" ht="22" customHeight="1">
      <c r="B20" s="35" t="inlineStr">
        <is>
          <t>Q</t>
        </is>
      </c>
      <c r="C20" s="27" t="inlineStr">
        <is>
          <t>Can I overpay to be safe?</t>
        </is>
      </c>
    </row>
    <row r="21" ht="70" customHeight="1">
      <c r="C21" s="4" t="inlineStr">
        <is>
          <t>Yes, and many people do. Pay an extra 5-10% per quarter to give yourself buffer; the IRS refunds the excess (or rolls it forward) when you file. There's no penalty for overpaying. The only "cost" is the lost interest on that cash — usually pennies compared to the underpayment penalty.</t>
        </is>
      </c>
    </row>
    <row r="23" ht="22" customHeight="1">
      <c r="B23" s="35" t="inlineStr">
        <is>
          <t>Q</t>
        </is>
      </c>
      <c r="C23" s="27" t="inlineStr">
        <is>
          <t>I had a huge year. Last year was tiny. Do I really only owe what last year's tax was × 4?</t>
        </is>
      </c>
    </row>
    <row r="24" ht="70" customHeight="1">
      <c r="C24" s="4" t="inlineStr">
        <is>
          <t>Under Safe Harbor 1, yes — for THIS year. You hit the safe harbor by paying 100%/110% of last year's tax. The catch: in April when you file, you'll owe a LARGE balance for this year's true tax. No penalty, but the bill is still due. Start putting cash aside in a separate account so April doesn't bury you.</t>
        </is>
      </c>
    </row>
    <row r="26" ht="22" customHeight="1">
      <c r="B26" s="35" t="inlineStr">
        <is>
          <t>Q</t>
        </is>
      </c>
      <c r="C26" s="27" t="inlineStr">
        <is>
          <t>What if I miss a quarter and want to catch up?</t>
        </is>
      </c>
    </row>
    <row r="27" ht="70" customHeight="1">
      <c r="C27" s="4" t="inlineStr">
        <is>
          <t>Pay the missed amount as soon as you can with your next payment. The penalty accrues per day, so paying late is much better than not paying. You can't "backdate" a quarter, but you can stop the bleeding.</t>
        </is>
      </c>
    </row>
    <row r="29" ht="22" customHeight="1">
      <c r="B29" s="35" t="inlineStr">
        <is>
          <t>Q</t>
        </is>
      </c>
      <c r="C29" s="27" t="inlineStr">
        <is>
          <t>Does this work if I'm both W-2 and self-employed?</t>
        </is>
      </c>
    </row>
    <row r="30" ht="70" customHeight="1">
      <c r="C30" s="4" t="inlineStr">
        <is>
          <t>Yes. The Tax Calculator already factors in your W-2 income and withholding. The Net federal owed number on that tab assumes your employer's withholding takes care of the W-2 portion, so you only need to send quarterlies for the SE side. Make sure the W-2 withholding number you entered is the FULL YEAR amount, not just YTD.</t>
        </is>
      </c>
    </row>
    <row r="32" ht="22" customHeight="1">
      <c r="B32" s="35" t="inlineStr">
        <is>
          <t>Q</t>
        </is>
      </c>
      <c r="C32" s="27" t="inlineStr">
        <is>
          <t>Do I need to keep records of payments?</t>
        </is>
      </c>
    </row>
    <row r="33" ht="70" customHeight="1">
      <c r="C33" s="4" t="inlineStr">
        <is>
          <t>Yes — keep electronic confirmations (Direct Pay sends an email; EFTPS keeps history online; mailed checks → keep the bank's cleared-check image). Match these to the Paid date and Paid $ columns on the Quarterly Payments tab. At year-end, the total of your four quarterly payments goes on Form 1040 line 26.</t>
        </is>
      </c>
    </row>
  </sheetData>
  <mergeCells count="2">
    <mergeCell ref="B3:C3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2026-05-11T20:42:05Z</dcterms:created>
  <dcterms:modified xsi:type="dcterms:W3CDTF">2026-05-11T20:42:06Z</dcterms:modified>
</cp:coreProperties>
</file>